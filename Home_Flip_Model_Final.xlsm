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2a0204078fdde01/Desktop/Harvard_Extension/Intro_Java_CSCI_E_10B/TermProject/"/>
    </mc:Choice>
  </mc:AlternateContent>
  <xr:revisionPtr revIDLastSave="201" documentId="8_{14E4FA6A-1350-4F31-B0D7-A25819D5DD1F}" xr6:coauthVersionLast="46" xr6:coauthVersionMax="46" xr10:uidLastSave="{5FF91605-4B6F-49AC-B020-1A0CFC185F08}"/>
  <bookViews>
    <workbookView xWindow="3810" yWindow="1335" windowWidth="21600" windowHeight="11385" xr2:uid="{00000000-000D-0000-FFFF-FFFF00000000}"/>
  </bookViews>
  <sheets>
    <sheet name="Model" sheetId="60" r:id="rId1"/>
    <sheet name="Amortization Table Mortgage" sheetId="59" r:id="rId2"/>
    <sheet name="Amortization Table Construction" sheetId="61" r:id="rId3"/>
  </sheets>
  <definedNames>
    <definedName name="EPMWorkbookOptions_1">"dgEAAB|LCAAAAAAABADtvQdgHEmWJSYvbcp7f0r1StfgdKEIgGATJNiQQBDswYjN5pLsHWlHIymrKoHKZVZlXWYWQMztnbz33nvvvffee||997o7nU4n99//P1xmZAFs9s5K2smeIYCqyB8/fnwfPyIe/x7vFmV6mddNUS0/|2h3vPNRmi|n1axYXnz20bo939799KPf4|g3Th5/t6rfTqrq7Zerlpo2Kb23bB69a4rPPpq37erR3btXV1fjq3v"</definedName>
    <definedName name="EPMWorkbookOptions_2" hidden="1">"jqr64u7ezs3v39/7i|evpPF9k28WyabPlNP/IvjW7|a2PqNc0ffwqP6/zZv7l8stVvjw6z8omf3w3/JDbnZR5Vj/N2uzL5evsMjctux9zWzOWl3XV5tM2n5nW/S/C9lez9K58dNb8ZFYX2aTMv8jrCweh9zmRzoJV2h39P45h/1l2AQAA"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60" l="1"/>
  <c r="O7" i="60"/>
  <c r="O6" i="60"/>
  <c r="O5" i="60"/>
  <c r="K24" i="60"/>
  <c r="O33" i="60"/>
  <c r="N28" i="60"/>
  <c r="C12" i="60" l="1"/>
  <c r="D23" i="60" s="1"/>
  <c r="M25" i="60"/>
  <c r="C8" i="60" l="1"/>
  <c r="E10" i="60"/>
  <c r="C47" i="60"/>
  <c r="C29" i="60"/>
  <c r="C2" i="61"/>
  <c r="C24" i="60"/>
  <c r="M24" i="60"/>
  <c r="O25" i="60"/>
  <c r="N25" i="60"/>
  <c r="C2" i="59"/>
  <c r="M26" i="60"/>
  <c r="O26" i="60"/>
  <c r="N26" i="60"/>
  <c r="M27" i="60"/>
  <c r="O27" i="60"/>
  <c r="N27" i="60"/>
  <c r="M28" i="60"/>
  <c r="O28" i="60"/>
  <c r="M29" i="60"/>
  <c r="O29" i="60"/>
  <c r="N29" i="60"/>
  <c r="M30" i="60"/>
  <c r="O30" i="60"/>
  <c r="N30" i="60"/>
  <c r="M31" i="60"/>
  <c r="O31" i="60"/>
  <c r="N31" i="60"/>
  <c r="M32" i="60"/>
  <c r="O32" i="60"/>
  <c r="N32" i="60"/>
  <c r="M33" i="60"/>
  <c r="N33" i="60"/>
  <c r="M34" i="60"/>
  <c r="O34" i="60"/>
  <c r="N34" i="60"/>
  <c r="M35" i="60"/>
  <c r="O35" i="60"/>
  <c r="N35" i="60"/>
  <c r="M36" i="60"/>
  <c r="O36" i="60"/>
  <c r="N36" i="60"/>
  <c r="M37" i="60"/>
  <c r="O37" i="60"/>
  <c r="N37" i="60"/>
  <c r="M38" i="60"/>
  <c r="O38" i="60"/>
  <c r="N38" i="60"/>
  <c r="M39" i="60"/>
  <c r="O39" i="60"/>
  <c r="N39" i="60"/>
  <c r="M40" i="60"/>
  <c r="O40" i="60"/>
  <c r="N40" i="60"/>
  <c r="M41" i="60"/>
  <c r="O41" i="60"/>
  <c r="N41" i="60"/>
  <c r="M42" i="60"/>
  <c r="O42" i="60"/>
  <c r="N42" i="60"/>
  <c r="M43" i="60"/>
  <c r="O43" i="60"/>
  <c r="N43" i="60"/>
  <c r="M44" i="60"/>
  <c r="O44" i="60"/>
  <c r="N44" i="60"/>
  <c r="M45" i="60"/>
  <c r="O45" i="60"/>
  <c r="N45" i="60"/>
  <c r="M46" i="60"/>
  <c r="O46" i="60"/>
  <c r="N46" i="60"/>
  <c r="M47" i="60"/>
  <c r="O47" i="60"/>
  <c r="N47" i="60"/>
  <c r="O24" i="60"/>
  <c r="N24" i="60"/>
  <c r="C4" i="59"/>
  <c r="C3" i="59"/>
  <c r="C4" i="61"/>
  <c r="C3" i="61"/>
  <c r="C7" i="61"/>
  <c r="C7" i="59"/>
  <c r="C6" i="61"/>
  <c r="C25" i="60"/>
  <c r="C26" i="60"/>
  <c r="C27" i="60"/>
  <c r="C28" i="60"/>
  <c r="C30" i="60"/>
  <c r="C31" i="60"/>
  <c r="C32" i="60"/>
  <c r="C33" i="60"/>
  <c r="C34" i="60"/>
  <c r="C35" i="60"/>
  <c r="C36" i="60"/>
  <c r="C37" i="60"/>
  <c r="C38" i="60"/>
  <c r="C39" i="60"/>
  <c r="C40" i="60"/>
  <c r="C41" i="60"/>
  <c r="C42" i="60"/>
  <c r="C43" i="60"/>
  <c r="C44" i="60"/>
  <c r="C45" i="60"/>
  <c r="C46" i="60"/>
  <c r="C6" i="59"/>
  <c r="C305" i="61" l="1"/>
  <c r="C311" i="61"/>
  <c r="C367" i="61"/>
  <c r="C283" i="61"/>
  <c r="C270" i="61"/>
  <c r="C219" i="61"/>
  <c r="C213" i="61"/>
  <c r="C286" i="61"/>
  <c r="C215" i="61"/>
  <c r="C9" i="60"/>
  <c r="C284" i="61"/>
  <c r="C237" i="61"/>
  <c r="C5" i="61"/>
  <c r="E26" i="61" s="1"/>
  <c r="C238" i="61"/>
  <c r="C275" i="61"/>
  <c r="C301" i="61"/>
  <c r="C293" i="61"/>
  <c r="C217" i="61"/>
  <c r="C320" i="61"/>
  <c r="C244" i="61"/>
  <c r="C232" i="61"/>
  <c r="C236" i="61"/>
  <c r="C300" i="61"/>
  <c r="C364" i="61"/>
  <c r="C249" i="61"/>
  <c r="C313" i="61"/>
  <c r="C251" i="61"/>
  <c r="C198" i="61"/>
  <c r="C326" i="61"/>
  <c r="C263" i="61"/>
  <c r="C194" i="61"/>
  <c r="C322" i="61"/>
  <c r="C292" i="61"/>
  <c r="C216" i="61"/>
  <c r="C347" i="61"/>
  <c r="C195" i="61"/>
  <c r="C273" i="61"/>
  <c r="C197" i="61"/>
  <c r="C254" i="61" l="1"/>
  <c r="C229" i="61"/>
  <c r="C362" i="61"/>
  <c r="C199" i="61"/>
  <c r="C228" i="61"/>
  <c r="C231" i="61"/>
  <c r="C316" i="61"/>
  <c r="C327" i="61"/>
  <c r="C210" i="61"/>
  <c r="C289" i="61"/>
  <c r="C358" i="61"/>
  <c r="C211" i="61"/>
  <c r="C357" i="61"/>
  <c r="C340" i="61"/>
  <c r="C333" i="61"/>
  <c r="C317" i="61"/>
  <c r="C306" i="61"/>
  <c r="C222" i="61"/>
  <c r="C257" i="61"/>
  <c r="C262" i="61"/>
  <c r="C241" i="61"/>
  <c r="C290" i="61"/>
  <c r="C337" i="61"/>
  <c r="C248" i="61"/>
  <c r="C223" i="61"/>
  <c r="C226" i="61"/>
  <c r="C352" i="61"/>
  <c r="C330" i="61"/>
  <c r="C368" i="61"/>
  <c r="C196" i="61"/>
  <c r="C202" i="61"/>
  <c r="C303" i="61"/>
  <c r="C279" i="61"/>
  <c r="C246" i="61"/>
  <c r="C247" i="61"/>
  <c r="C353" i="61"/>
  <c r="C304" i="61"/>
  <c r="C310" i="61"/>
  <c r="C221" i="61"/>
  <c r="C348" i="61"/>
  <c r="C351" i="61"/>
  <c r="C323" i="61"/>
  <c r="C234" i="61"/>
  <c r="C266" i="61"/>
  <c r="C259" i="61"/>
  <c r="C324" i="61"/>
  <c r="C220" i="61"/>
  <c r="C240" i="61"/>
  <c r="C363" i="61"/>
  <c r="C297" i="61"/>
  <c r="C325" i="61"/>
  <c r="C264" i="61"/>
  <c r="C319" i="61"/>
  <c r="C315" i="61"/>
  <c r="C336" i="61"/>
  <c r="C201" i="61"/>
  <c r="C253" i="61"/>
  <c r="C308" i="61"/>
  <c r="C314" i="61"/>
  <c r="C243" i="61"/>
  <c r="C267" i="61"/>
  <c r="C204" i="61"/>
  <c r="C271" i="61"/>
  <c r="C321" i="61"/>
  <c r="C332" i="61"/>
  <c r="C282" i="61"/>
  <c r="C203" i="61"/>
  <c r="C205" i="61"/>
  <c r="C371" i="61"/>
  <c r="C309" i="61"/>
  <c r="C230" i="61"/>
  <c r="C208" i="61"/>
  <c r="C349" i="61"/>
  <c r="C260" i="61"/>
  <c r="C274" i="61"/>
  <c r="C344" i="61"/>
  <c r="C366" i="61"/>
  <c r="C281" i="61"/>
  <c r="C255" i="61"/>
  <c r="C245" i="61"/>
  <c r="C252" i="61"/>
  <c r="C200" i="61"/>
  <c r="C354" i="61"/>
  <c r="C233" i="61"/>
  <c r="C339" i="61"/>
  <c r="C343" i="61"/>
  <c r="C212" i="61"/>
  <c r="C224" i="61"/>
  <c r="C318" i="61"/>
  <c r="C360" i="61"/>
  <c r="C328" i="61"/>
  <c r="C209" i="61"/>
  <c r="C335" i="61"/>
  <c r="C239" i="61"/>
  <c r="C329" i="61"/>
  <c r="C355" i="61"/>
  <c r="C235" i="61"/>
  <c r="C277" i="61"/>
  <c r="C288" i="61"/>
  <c r="C312" i="61"/>
  <c r="C369" i="61"/>
  <c r="C296" i="61"/>
  <c r="C225" i="61"/>
  <c r="C345" i="61"/>
  <c r="C370" i="61"/>
  <c r="C218" i="61"/>
  <c r="C206" i="61"/>
  <c r="C258" i="61"/>
  <c r="C192" i="61"/>
  <c r="C331" i="61"/>
  <c r="C359" i="61"/>
  <c r="C272" i="61"/>
  <c r="C280" i="61"/>
  <c r="C365" i="61"/>
  <c r="C298" i="61"/>
  <c r="C265" i="61"/>
  <c r="C269" i="61"/>
  <c r="C356" i="61"/>
  <c r="C338" i="61"/>
  <c r="C299" i="61"/>
  <c r="C307" i="61"/>
  <c r="C350" i="61"/>
  <c r="C268" i="61"/>
  <c r="C302" i="61"/>
  <c r="C334" i="61"/>
  <c r="C193" i="61"/>
  <c r="C261" i="61"/>
  <c r="C287" i="61"/>
  <c r="C295" i="61"/>
  <c r="C341" i="61"/>
  <c r="C361" i="61"/>
  <c r="C214" i="61"/>
  <c r="C227" i="61"/>
  <c r="C291" i="61"/>
  <c r="C242" i="61"/>
  <c r="C250" i="61"/>
  <c r="C207" i="61"/>
  <c r="C346" i="61"/>
  <c r="C256" i="61"/>
  <c r="C278" i="61"/>
  <c r="C294" i="61"/>
  <c r="C342" i="61"/>
  <c r="C285" i="61"/>
  <c r="C276" i="61"/>
  <c r="E210" i="61"/>
  <c r="D29" i="61"/>
  <c r="C36" i="61"/>
  <c r="E247" i="61"/>
  <c r="E119" i="61"/>
  <c r="D139" i="61"/>
  <c r="D30" i="61"/>
  <c r="C51" i="61"/>
  <c r="E23" i="61"/>
  <c r="E154" i="61"/>
  <c r="E214" i="61"/>
  <c r="D27" i="61"/>
  <c r="E70" i="61"/>
  <c r="E21" i="61"/>
  <c r="D339" i="61"/>
  <c r="E170" i="61"/>
  <c r="E22" i="61"/>
  <c r="D28" i="61"/>
  <c r="D32" i="61"/>
  <c r="D52" i="61"/>
  <c r="C189" i="61"/>
  <c r="D99" i="61"/>
  <c r="E279" i="61"/>
  <c r="E24" i="61"/>
  <c r="E32" i="61"/>
  <c r="E291" i="61"/>
  <c r="E348" i="61"/>
  <c r="D42" i="61"/>
  <c r="D96" i="61"/>
  <c r="E103" i="61"/>
  <c r="E360" i="61"/>
  <c r="C157" i="61"/>
  <c r="D165" i="61"/>
  <c r="C34" i="61"/>
  <c r="E76" i="61"/>
  <c r="E242" i="61"/>
  <c r="D83" i="61"/>
  <c r="D33" i="61"/>
  <c r="E17" i="61"/>
  <c r="E185" i="61"/>
  <c r="E176" i="61"/>
  <c r="D181" i="61"/>
  <c r="E20" i="61"/>
  <c r="C131" i="61"/>
  <c r="E16" i="61"/>
  <c r="D17" i="61"/>
  <c r="E33" i="61"/>
  <c r="E100" i="61"/>
  <c r="C75" i="61"/>
  <c r="E201" i="61"/>
  <c r="E336" i="61"/>
  <c r="E183" i="61"/>
  <c r="D242" i="61"/>
  <c r="E212" i="61"/>
  <c r="E161" i="61"/>
  <c r="E288" i="61"/>
  <c r="E86" i="61"/>
  <c r="D222" i="61"/>
  <c r="E355" i="61"/>
  <c r="D355" i="61"/>
  <c r="E97" i="61"/>
  <c r="D171" i="61"/>
  <c r="D19" i="61"/>
  <c r="E38" i="61"/>
  <c r="C23" i="61"/>
  <c r="D145" i="61"/>
  <c r="D132" i="61"/>
  <c r="C81" i="61"/>
  <c r="E165" i="61"/>
  <c r="C5" i="59"/>
  <c r="E21" i="59" s="1"/>
  <c r="D16" i="61"/>
  <c r="D266" i="61"/>
  <c r="E328" i="61"/>
  <c r="E276" i="61"/>
  <c r="E132" i="61"/>
  <c r="E226" i="61"/>
  <c r="C186" i="61"/>
  <c r="D233" i="61"/>
  <c r="D159" i="61"/>
  <c r="C49" i="61"/>
  <c r="D121" i="61"/>
  <c r="D143" i="61"/>
  <c r="E109" i="61"/>
  <c r="E267" i="61"/>
  <c r="C167" i="61"/>
  <c r="E280" i="61"/>
  <c r="D12" i="61"/>
  <c r="E251" i="61"/>
  <c r="D328" i="61"/>
  <c r="E180" i="61"/>
  <c r="E47" i="61"/>
  <c r="C104" i="61"/>
  <c r="E217" i="61"/>
  <c r="D34" i="61"/>
  <c r="D90" i="61"/>
  <c r="E50" i="61"/>
  <c r="E285" i="61"/>
  <c r="C166" i="61"/>
  <c r="C136" i="61"/>
  <c r="D286" i="61"/>
  <c r="D27" i="59"/>
  <c r="E13" i="59"/>
  <c r="D33" i="59"/>
  <c r="D164" i="61"/>
  <c r="E349" i="61"/>
  <c r="D371" i="61"/>
  <c r="D320" i="61"/>
  <c r="D157" i="61"/>
  <c r="E46" i="61"/>
  <c r="E44" i="61"/>
  <c r="E177" i="61"/>
  <c r="E94" i="61"/>
  <c r="C69" i="61"/>
  <c r="E96" i="61"/>
  <c r="D155" i="61"/>
  <c r="E117" i="61"/>
  <c r="D260" i="61"/>
  <c r="D112" i="61"/>
  <c r="E179" i="61"/>
  <c r="C41" i="61"/>
  <c r="D141" i="61"/>
  <c r="E263" i="61"/>
  <c r="C95" i="61"/>
  <c r="E181" i="61"/>
  <c r="E168" i="61"/>
  <c r="D340" i="61"/>
  <c r="C18" i="61"/>
  <c r="D120" i="61"/>
  <c r="C79" i="61"/>
  <c r="D102" i="61"/>
  <c r="D218" i="61"/>
  <c r="C67" i="61"/>
  <c r="E171" i="61"/>
  <c r="E39" i="61"/>
  <c r="C151" i="61"/>
  <c r="C111" i="61"/>
  <c r="E339" i="61"/>
  <c r="E230" i="61"/>
  <c r="D98" i="61"/>
  <c r="D197" i="61"/>
  <c r="D114" i="61"/>
  <c r="E12" i="59"/>
  <c r="E23" i="59"/>
  <c r="E20" i="59"/>
  <c r="D32" i="59"/>
  <c r="E22" i="59"/>
  <c r="D26" i="59"/>
  <c r="E19" i="59"/>
  <c r="D13" i="59"/>
  <c r="D17" i="59"/>
  <c r="D31" i="59"/>
  <c r="E25" i="59"/>
  <c r="D18" i="59"/>
  <c r="E30" i="59"/>
  <c r="E31" i="59"/>
  <c r="E32" i="59"/>
  <c r="E16" i="59"/>
  <c r="D15" i="61"/>
  <c r="D22" i="61"/>
  <c r="C182" i="61"/>
  <c r="C125" i="61"/>
  <c r="D14" i="59"/>
  <c r="D23" i="61"/>
  <c r="D234" i="61"/>
  <c r="E246" i="61"/>
  <c r="C170" i="61"/>
  <c r="D34" i="59"/>
  <c r="E27" i="61"/>
  <c r="E13" i="61"/>
  <c r="D172" i="61"/>
  <c r="D175" i="61"/>
  <c r="C17" i="61"/>
  <c r="E24" i="59"/>
  <c r="E35" i="61"/>
  <c r="E186" i="61"/>
  <c r="C149" i="61"/>
  <c r="E28" i="59"/>
  <c r="D161" i="61"/>
  <c r="D115" i="61"/>
  <c r="D28" i="59"/>
  <c r="D20" i="61"/>
  <c r="E283" i="61"/>
  <c r="D122" i="61"/>
  <c r="E15" i="61"/>
  <c r="E296" i="61"/>
  <c r="E87" i="61"/>
  <c r="D31" i="61"/>
  <c r="E28" i="61"/>
  <c r="E29" i="61"/>
  <c r="C132" i="61"/>
  <c r="D35" i="61"/>
  <c r="E25" i="61"/>
  <c r="D18" i="61"/>
  <c r="D21" i="59"/>
  <c r="E12" i="61"/>
  <c r="Q24" i="60" s="1"/>
  <c r="C43" i="61"/>
  <c r="E34" i="61"/>
  <c r="E33" i="59"/>
  <c r="C59" i="61"/>
  <c r="D238" i="61"/>
  <c r="C102" i="61"/>
  <c r="E232" i="61"/>
  <c r="E276" i="59"/>
  <c r="C227" i="59"/>
  <c r="E363" i="59"/>
  <c r="E274" i="59"/>
  <c r="D173" i="59"/>
  <c r="C323" i="59"/>
  <c r="E244" i="59"/>
  <c r="E147" i="59"/>
  <c r="C289" i="59"/>
  <c r="D208" i="59"/>
  <c r="E136" i="59"/>
  <c r="D85" i="59"/>
  <c r="E60" i="59"/>
  <c r="E287" i="59"/>
  <c r="E203" i="59"/>
  <c r="D132" i="59"/>
  <c r="D75" i="59"/>
  <c r="C358" i="59"/>
  <c r="C275" i="59"/>
  <c r="C200" i="59"/>
  <c r="C306" i="59"/>
  <c r="E227" i="59"/>
  <c r="D126" i="59"/>
  <c r="D313" i="59"/>
  <c r="C211" i="59"/>
  <c r="E339" i="59"/>
  <c r="E205" i="59"/>
  <c r="D356" i="59"/>
  <c r="D284" i="59"/>
  <c r="E371" i="59"/>
  <c r="E277" i="59"/>
  <c r="E367" i="59"/>
  <c r="D269" i="59"/>
  <c r="D371" i="59"/>
  <c r="C343" i="59"/>
  <c r="D241" i="59"/>
  <c r="C199" i="59"/>
  <c r="E51" i="59"/>
  <c r="D240" i="59"/>
  <c r="E65" i="59"/>
  <c r="E18" i="59"/>
  <c r="D311" i="59"/>
  <c r="C208" i="59"/>
  <c r="E342" i="59"/>
  <c r="C248" i="59"/>
  <c r="D161" i="59"/>
  <c r="C328" i="59"/>
  <c r="C229" i="59"/>
  <c r="D142" i="59"/>
  <c r="E306" i="59"/>
  <c r="C232" i="59"/>
  <c r="E100" i="59"/>
  <c r="D52" i="59"/>
  <c r="C44" i="59"/>
  <c r="D302" i="59"/>
  <c r="D223" i="59"/>
  <c r="E96" i="59"/>
  <c r="E62" i="59"/>
  <c r="E366" i="59"/>
  <c r="E267" i="59"/>
  <c r="E214" i="59"/>
  <c r="E321" i="59"/>
  <c r="E248" i="59"/>
  <c r="C148" i="59"/>
  <c r="D309" i="59"/>
  <c r="D207" i="59"/>
  <c r="C336" i="59"/>
  <c r="C256" i="59"/>
  <c r="C344" i="59"/>
  <c r="C276" i="59"/>
  <c r="E346" i="59"/>
  <c r="C277" i="59"/>
  <c r="C356" i="59"/>
  <c r="C291" i="59"/>
  <c r="E351" i="59"/>
  <c r="D341" i="59"/>
  <c r="E260" i="59"/>
  <c r="E176" i="59"/>
  <c r="D60" i="59"/>
  <c r="C192" i="59"/>
  <c r="C55" i="59"/>
  <c r="E35" i="59"/>
  <c r="D49" i="59"/>
  <c r="D273" i="59"/>
  <c r="D160" i="59"/>
  <c r="C357" i="59"/>
  <c r="E233" i="59"/>
  <c r="D151" i="59"/>
  <c r="C295" i="59"/>
  <c r="C215" i="59"/>
  <c r="E125" i="59"/>
  <c r="D294" i="59"/>
  <c r="D235" i="59"/>
  <c r="E135" i="59"/>
  <c r="E70" i="59"/>
  <c r="D40" i="59"/>
  <c r="E313" i="59"/>
  <c r="C231" i="59"/>
  <c r="D131" i="59"/>
  <c r="D59" i="59"/>
  <c r="D363" i="59"/>
  <c r="D290" i="59"/>
  <c r="E194" i="59"/>
  <c r="C312" i="59"/>
  <c r="C212" i="59"/>
  <c r="E369" i="59"/>
  <c r="D287" i="59"/>
  <c r="E196" i="59"/>
  <c r="D338" i="59"/>
  <c r="D260" i="59"/>
  <c r="E365" i="59"/>
  <c r="C265" i="59"/>
  <c r="C338" i="59"/>
  <c r="C270" i="59"/>
  <c r="C334" i="59"/>
  <c r="E268" i="59"/>
  <c r="C363" i="59"/>
  <c r="C322" i="59"/>
  <c r="E259" i="59"/>
  <c r="D188" i="59"/>
  <c r="D358" i="59"/>
  <c r="C280" i="59"/>
  <c r="D200" i="59"/>
  <c r="C321" i="59"/>
  <c r="C249" i="59"/>
  <c r="D176" i="59"/>
  <c r="C315" i="59"/>
  <c r="D236" i="59"/>
  <c r="E104" i="59"/>
  <c r="E304" i="59"/>
  <c r="D197" i="59"/>
  <c r="D145" i="59"/>
  <c r="C28" i="59"/>
  <c r="E162" i="59"/>
  <c r="C320" i="59"/>
  <c r="C193" i="59"/>
  <c r="E134" i="59"/>
  <c r="C42" i="59"/>
  <c r="E347" i="59"/>
  <c r="D265" i="59"/>
  <c r="D167" i="59"/>
  <c r="D300" i="59"/>
  <c r="C243" i="59"/>
  <c r="C350" i="59"/>
  <c r="E296" i="59"/>
  <c r="D213" i="59"/>
  <c r="C298" i="59"/>
  <c r="C272" i="59"/>
  <c r="C337" i="59"/>
  <c r="D264" i="59"/>
  <c r="E357" i="59"/>
  <c r="E264" i="59"/>
  <c r="E352" i="59"/>
  <c r="D257" i="59"/>
  <c r="E361" i="59"/>
  <c r="E331" i="59"/>
  <c r="D267" i="59"/>
  <c r="E157" i="59"/>
  <c r="E44" i="59"/>
  <c r="C166" i="59"/>
  <c r="E81" i="59"/>
  <c r="E158" i="59"/>
  <c r="E368" i="59"/>
  <c r="E291" i="59"/>
  <c r="D195" i="59"/>
  <c r="E345" i="59"/>
  <c r="D242" i="59"/>
  <c r="D164" i="59"/>
  <c r="C299" i="59"/>
  <c r="C240" i="59"/>
  <c r="C62" i="59"/>
  <c r="C273" i="59"/>
  <c r="D144" i="59"/>
  <c r="E119" i="59"/>
  <c r="C40" i="59"/>
  <c r="C52" i="59"/>
  <c r="E271" i="59"/>
  <c r="C207" i="59"/>
  <c r="D110" i="59"/>
  <c r="C183" i="59"/>
  <c r="E344" i="59"/>
  <c r="D279" i="59"/>
  <c r="E178" i="59"/>
  <c r="D324" i="59"/>
  <c r="E247" i="59"/>
  <c r="D163" i="59"/>
  <c r="E309" i="59"/>
  <c r="E201" i="59"/>
  <c r="C366" i="59"/>
  <c r="D293" i="59"/>
  <c r="C210" i="59"/>
  <c r="C98" i="59"/>
  <c r="C32" i="59"/>
  <c r="C362" i="59"/>
  <c r="D286" i="59"/>
  <c r="D204" i="59"/>
  <c r="C93" i="59"/>
  <c r="E129" i="59"/>
  <c r="C364" i="59"/>
  <c r="E252" i="59"/>
  <c r="E193" i="59"/>
  <c r="D292" i="59"/>
  <c r="E211" i="59"/>
  <c r="D353" i="59"/>
  <c r="D276" i="59"/>
  <c r="D194" i="59"/>
  <c r="C304" i="59"/>
  <c r="D244" i="59"/>
  <c r="E337" i="59"/>
  <c r="C250" i="59"/>
  <c r="E338" i="59"/>
  <c r="E250" i="59"/>
  <c r="D342" i="59"/>
  <c r="E246" i="59"/>
  <c r="E341" i="59"/>
  <c r="D332" i="59"/>
  <c r="D210" i="59"/>
  <c r="E118" i="59"/>
  <c r="D45" i="59"/>
  <c r="C150" i="59"/>
  <c r="C47" i="59"/>
  <c r="D349" i="59"/>
  <c r="E253" i="59"/>
  <c r="E167" i="59"/>
  <c r="E314" i="59"/>
  <c r="D268" i="59"/>
  <c r="C24" i="59"/>
  <c r="C278" i="59"/>
  <c r="D148" i="59"/>
  <c r="D360" i="59"/>
  <c r="D277" i="59"/>
  <c r="D220" i="59"/>
  <c r="D95" i="59"/>
  <c r="E160" i="59"/>
  <c r="D348" i="59"/>
  <c r="C269" i="59"/>
  <c r="E216" i="59"/>
  <c r="D90" i="59"/>
  <c r="E92" i="59"/>
  <c r="D344" i="59"/>
  <c r="D226" i="59"/>
  <c r="E170" i="59"/>
  <c r="E301" i="59"/>
  <c r="E222" i="59"/>
  <c r="C355" i="59"/>
  <c r="D253" i="59"/>
  <c r="C161" i="59"/>
  <c r="E289" i="59"/>
  <c r="D237" i="59"/>
  <c r="C294" i="59"/>
  <c r="C259" i="59"/>
  <c r="C335" i="59"/>
  <c r="C246" i="59"/>
  <c r="D327" i="59"/>
  <c r="E272" i="59"/>
  <c r="E324" i="59"/>
  <c r="D295" i="59"/>
  <c r="C254" i="59"/>
  <c r="E88" i="59"/>
  <c r="C29" i="59"/>
  <c r="C157" i="59"/>
  <c r="E41" i="59"/>
  <c r="D361" i="59"/>
  <c r="E237" i="59"/>
  <c r="C156" i="59"/>
  <c r="C329" i="59"/>
  <c r="D205" i="59"/>
  <c r="C370" i="59"/>
  <c r="C271" i="59"/>
  <c r="E189" i="59"/>
  <c r="E353" i="59"/>
  <c r="C279" i="59"/>
  <c r="C216" i="59"/>
  <c r="E85" i="59"/>
  <c r="C179" i="59"/>
  <c r="C351" i="59"/>
  <c r="E281" i="59"/>
  <c r="C203" i="59"/>
  <c r="E79" i="59"/>
  <c r="C88" i="59"/>
  <c r="C310" i="59"/>
  <c r="E231" i="59"/>
  <c r="D130" i="59"/>
  <c r="D310" i="59"/>
  <c r="C222" i="59"/>
  <c r="D350" i="59"/>
  <c r="E209" i="59"/>
  <c r="C127" i="59"/>
  <c r="E315" i="59"/>
  <c r="E232" i="59"/>
  <c r="C326" i="59"/>
  <c r="C214" i="59"/>
  <c r="C290" i="59"/>
  <c r="D247" i="59"/>
  <c r="C286" i="59"/>
  <c r="E258" i="59"/>
  <c r="C282" i="59"/>
  <c r="D315" i="59"/>
  <c r="E236" i="59"/>
  <c r="D135" i="59"/>
  <c r="C76" i="59"/>
  <c r="D178" i="59"/>
  <c r="C73" i="59"/>
  <c r="E132" i="59"/>
  <c r="D23" i="59"/>
  <c r="E326" i="59"/>
  <c r="E256" i="59"/>
  <c r="C177" i="59"/>
  <c r="D328" i="59"/>
  <c r="D233" i="59"/>
  <c r="D364" i="59"/>
  <c r="E284" i="59"/>
  <c r="E226" i="59"/>
  <c r="D355" i="59"/>
  <c r="D274" i="59"/>
  <c r="E181" i="59"/>
  <c r="D100" i="59"/>
  <c r="C128" i="59"/>
  <c r="C349" i="59"/>
  <c r="C266" i="59"/>
  <c r="E177" i="59"/>
  <c r="E152" i="59"/>
  <c r="E75" i="59"/>
  <c r="D326" i="59"/>
  <c r="C251" i="59"/>
  <c r="C22" i="59"/>
  <c r="C288" i="59"/>
  <c r="C201" i="59"/>
  <c r="D336" i="59"/>
  <c r="E261" i="59"/>
  <c r="D182" i="59"/>
  <c r="E299" i="59"/>
  <c r="E240" i="59"/>
  <c r="C340" i="59"/>
  <c r="E238" i="59"/>
  <c r="D321" i="59"/>
  <c r="E234" i="59"/>
  <c r="E316" i="59"/>
  <c r="C230" i="59"/>
  <c r="C330" i="59"/>
  <c r="C285" i="59"/>
  <c r="C247" i="59"/>
  <c r="C130" i="59"/>
  <c r="C39" i="59"/>
  <c r="E84" i="59"/>
  <c r="E99" i="59"/>
  <c r="C169" i="59"/>
  <c r="D24" i="59"/>
  <c r="D347" i="59"/>
  <c r="D246" i="59"/>
  <c r="C165" i="59"/>
  <c r="C303" i="59"/>
  <c r="D224" i="59"/>
  <c r="D359" i="59"/>
  <c r="E282" i="59"/>
  <c r="D166" i="59"/>
  <c r="E350" i="59"/>
  <c r="E225" i="59"/>
  <c r="E145" i="59"/>
  <c r="C122" i="59"/>
  <c r="D127" i="59"/>
  <c r="C345" i="59"/>
  <c r="E221" i="59"/>
  <c r="C139" i="59"/>
  <c r="E121" i="59"/>
  <c r="D25" i="59"/>
  <c r="C327" i="59"/>
  <c r="D259" i="59"/>
  <c r="C173" i="59"/>
  <c r="D335" i="59"/>
  <c r="C242" i="59"/>
  <c r="E360" i="59"/>
  <c r="C244" i="59"/>
  <c r="E156" i="59"/>
  <c r="D314" i="59"/>
  <c r="C241" i="59"/>
  <c r="D158" i="59"/>
  <c r="E74" i="59"/>
  <c r="C103" i="59"/>
  <c r="D334" i="59"/>
  <c r="D256" i="59"/>
  <c r="C151" i="59"/>
  <c r="D70" i="59"/>
  <c r="D331" i="59"/>
  <c r="D251" i="59"/>
  <c r="C137" i="59"/>
  <c r="E305" i="59"/>
  <c r="E266" i="59"/>
  <c r="C352" i="59"/>
  <c r="E229" i="59"/>
  <c r="C147" i="59"/>
  <c r="C347" i="59"/>
  <c r="D234" i="59"/>
  <c r="D174" i="59"/>
  <c r="E61" i="59"/>
  <c r="C117" i="59"/>
  <c r="D345" i="59"/>
  <c r="D230" i="59"/>
  <c r="C164" i="59"/>
  <c r="C57" i="59"/>
  <c r="D323" i="59"/>
  <c r="D212" i="59"/>
  <c r="D157" i="59"/>
  <c r="E310" i="59"/>
  <c r="E207" i="59"/>
  <c r="E218" i="59"/>
  <c r="E243" i="59"/>
  <c r="E143" i="59"/>
  <c r="C219" i="59"/>
  <c r="C14" i="59"/>
  <c r="D206" i="59"/>
  <c r="D222" i="59"/>
  <c r="D306" i="59"/>
  <c r="C368" i="59"/>
  <c r="C342" i="59"/>
  <c r="C369" i="59"/>
  <c r="C365" i="59"/>
  <c r="E370" i="59"/>
  <c r="E249" i="59"/>
  <c r="C61" i="59"/>
  <c r="E59" i="59"/>
  <c r="D146" i="59"/>
  <c r="E38" i="59"/>
  <c r="C174" i="59"/>
  <c r="D121" i="59"/>
  <c r="D139" i="59"/>
  <c r="E113" i="59"/>
  <c r="D94" i="59"/>
  <c r="E333" i="59"/>
  <c r="C106" i="59"/>
  <c r="E187" i="59"/>
  <c r="D138" i="59"/>
  <c r="C140" i="59"/>
  <c r="C187" i="59"/>
  <c r="C158" i="59"/>
  <c r="C146" i="59"/>
  <c r="E114" i="59"/>
  <c r="C287" i="59"/>
  <c r="C353" i="59"/>
  <c r="E90" i="59"/>
  <c r="D68" i="59"/>
  <c r="E80" i="59"/>
  <c r="D190" i="59"/>
  <c r="E302" i="59"/>
  <c r="E139" i="59"/>
  <c r="C126" i="59"/>
  <c r="C267" i="59"/>
  <c r="E137" i="59"/>
  <c r="E215" i="59"/>
  <c r="E343" i="59"/>
  <c r="C135" i="59"/>
  <c r="E195" i="59"/>
  <c r="D255" i="59"/>
  <c r="D330" i="59"/>
  <c r="D329" i="59"/>
  <c r="E348" i="59"/>
  <c r="D343" i="59"/>
  <c r="D339" i="59"/>
  <c r="E212" i="59"/>
  <c r="D71" i="59"/>
  <c r="E83" i="59"/>
  <c r="C152" i="59"/>
  <c r="E53" i="59"/>
  <c r="C141" i="59"/>
  <c r="E89" i="59"/>
  <c r="E110" i="59"/>
  <c r="C59" i="59"/>
  <c r="D37" i="59"/>
  <c r="D320" i="59"/>
  <c r="C31" i="59"/>
  <c r="C218" i="59"/>
  <c r="C83" i="59"/>
  <c r="C155" i="59"/>
  <c r="E148" i="59"/>
  <c r="D36" i="59"/>
  <c r="C91" i="59"/>
  <c r="D150" i="59"/>
  <c r="D263" i="59"/>
  <c r="D289" i="59"/>
  <c r="C101" i="59"/>
  <c r="C86" i="59"/>
  <c r="E50" i="59"/>
  <c r="E179" i="59"/>
  <c r="C296" i="59"/>
  <c r="C72" i="59"/>
  <c r="D354" i="59"/>
  <c r="E165" i="59"/>
  <c r="E48" i="59"/>
  <c r="D185" i="59"/>
  <c r="D318" i="59"/>
  <c r="C354" i="59"/>
  <c r="D189" i="59"/>
  <c r="C261" i="59"/>
  <c r="C305" i="59"/>
  <c r="D312" i="59"/>
  <c r="E332" i="59"/>
  <c r="D325" i="59"/>
  <c r="E320" i="59"/>
  <c r="C188" i="59"/>
  <c r="E46" i="59"/>
  <c r="E103" i="59"/>
  <c r="E154" i="59"/>
  <c r="D91" i="59"/>
  <c r="D147" i="59"/>
  <c r="D366" i="59"/>
  <c r="C84" i="59"/>
  <c r="C69" i="59"/>
  <c r="C48" i="59"/>
  <c r="C253" i="59"/>
  <c r="C35" i="59"/>
  <c r="C111" i="59"/>
  <c r="D177" i="59"/>
  <c r="E98" i="59"/>
  <c r="C170" i="59"/>
  <c r="D351" i="59"/>
  <c r="E107" i="59"/>
  <c r="D74" i="59"/>
  <c r="D215" i="59"/>
  <c r="E286" i="59"/>
  <c r="D114" i="59"/>
  <c r="D67" i="59"/>
  <c r="E117" i="59"/>
  <c r="E123" i="59"/>
  <c r="C260" i="59"/>
  <c r="D368" i="59"/>
  <c r="D153" i="59"/>
  <c r="E86" i="59"/>
  <c r="C171" i="59"/>
  <c r="E303" i="59"/>
  <c r="E362" i="59"/>
  <c r="D199" i="59"/>
  <c r="E223" i="59"/>
  <c r="E308" i="59"/>
  <c r="C307" i="59"/>
  <c r="E307" i="59"/>
  <c r="D303" i="59"/>
  <c r="C18" i="59"/>
  <c r="E335" i="59"/>
  <c r="D62" i="59"/>
  <c r="C46" i="59"/>
  <c r="D119" i="59"/>
  <c r="D47" i="59"/>
  <c r="D128" i="59"/>
  <c r="C319" i="59"/>
  <c r="C95" i="59"/>
  <c r="E111" i="59"/>
  <c r="C49" i="59"/>
  <c r="C234" i="59"/>
  <c r="E57" i="59"/>
  <c r="C160" i="59"/>
  <c r="C367" i="59"/>
  <c r="E82" i="59"/>
  <c r="C121" i="59"/>
  <c r="C325" i="59"/>
  <c r="D106" i="59"/>
  <c r="D64" i="59"/>
  <c r="C186" i="59"/>
  <c r="D261" i="59"/>
  <c r="C113" i="59"/>
  <c r="E54" i="59"/>
  <c r="D76" i="59"/>
  <c r="C125" i="59"/>
  <c r="D232" i="59"/>
  <c r="E288" i="59"/>
  <c r="D155" i="59"/>
  <c r="D72" i="59"/>
  <c r="C138" i="59"/>
  <c r="D282" i="59"/>
  <c r="C359" i="59"/>
  <c r="E198" i="59"/>
  <c r="E230" i="59"/>
  <c r="D280" i="59"/>
  <c r="C292" i="59"/>
  <c r="E297" i="59"/>
  <c r="C318" i="59"/>
  <c r="D370" i="59"/>
  <c r="E290" i="59"/>
  <c r="D169" i="59"/>
  <c r="C67" i="59"/>
  <c r="E108" i="59"/>
  <c r="D54" i="59"/>
  <c r="E149" i="59"/>
  <c r="C301" i="59"/>
  <c r="E115" i="59"/>
  <c r="C60" i="59"/>
  <c r="E76" i="59"/>
  <c r="E186" i="59"/>
  <c r="D86" i="59"/>
  <c r="D162" i="59"/>
  <c r="E329" i="59"/>
  <c r="D118" i="59"/>
  <c r="D111" i="59"/>
  <c r="D298" i="59"/>
  <c r="D115" i="59"/>
  <c r="D103" i="59"/>
  <c r="C163" i="59"/>
  <c r="D248" i="59"/>
  <c r="C70" i="59"/>
  <c r="D38" i="59"/>
  <c r="D297" i="59"/>
  <c r="C149" i="59"/>
  <c r="E184" i="59"/>
  <c r="C8" i="59"/>
  <c r="D275" i="59"/>
  <c r="C129" i="59"/>
  <c r="D56" i="59"/>
  <c r="D133" i="59"/>
  <c r="C297" i="59"/>
  <c r="C360" i="59"/>
  <c r="E166" i="59"/>
  <c r="E210" i="59"/>
  <c r="C293" i="59"/>
  <c r="D301" i="59"/>
  <c r="D299" i="59"/>
  <c r="E294" i="59"/>
  <c r="D367" i="59"/>
  <c r="E279" i="59"/>
  <c r="D171" i="59"/>
  <c r="D58" i="59"/>
  <c r="D101" i="59"/>
  <c r="E161" i="59"/>
  <c r="E146" i="59"/>
  <c r="E265" i="59"/>
  <c r="C114" i="59"/>
  <c r="D79" i="59"/>
  <c r="D50" i="59"/>
  <c r="C189" i="59"/>
  <c r="E47" i="59"/>
  <c r="E133" i="59"/>
  <c r="D322" i="59"/>
  <c r="C97" i="59"/>
  <c r="E131" i="59"/>
  <c r="C264" i="59"/>
  <c r="C94" i="59"/>
  <c r="D81" i="59"/>
  <c r="C168" i="59"/>
  <c r="D179" i="59"/>
  <c r="E69" i="59"/>
  <c r="D41" i="59"/>
  <c r="D88" i="59"/>
  <c r="C145" i="59"/>
  <c r="D214" i="59"/>
  <c r="D285" i="59"/>
  <c r="C324" i="59"/>
  <c r="E122" i="59"/>
  <c r="E73" i="59"/>
  <c r="D305" i="59"/>
  <c r="D340" i="59"/>
  <c r="C131" i="59"/>
  <c r="C239" i="59"/>
  <c r="D291" i="59"/>
  <c r="D304" i="59"/>
  <c r="D296" i="59"/>
  <c r="D288" i="59"/>
  <c r="D346" i="59"/>
  <c r="D272" i="59"/>
  <c r="C333" i="59"/>
  <c r="D203" i="59"/>
  <c r="C144" i="59"/>
  <c r="C79" i="59"/>
  <c r="D117" i="59"/>
  <c r="E219" i="59"/>
  <c r="E87" i="59"/>
  <c r="E37" i="59"/>
  <c r="D141" i="59"/>
  <c r="C194" i="59"/>
  <c r="E56" i="59"/>
  <c r="C118" i="59"/>
  <c r="E241" i="59"/>
  <c r="D87" i="59"/>
  <c r="D154" i="59"/>
  <c r="D239" i="59"/>
  <c r="E78" i="59"/>
  <c r="C36" i="59"/>
  <c r="C181" i="59"/>
  <c r="C213" i="59"/>
  <c r="E58" i="59"/>
  <c r="E364" i="59"/>
  <c r="C65" i="59"/>
  <c r="E102" i="59"/>
  <c r="D181" i="59"/>
  <c r="E153" i="59"/>
  <c r="C331" i="59"/>
  <c r="D113" i="59"/>
  <c r="C77" i="59"/>
  <c r="C311" i="59"/>
  <c r="E336" i="59"/>
  <c r="E188" i="59"/>
  <c r="E191" i="59"/>
  <c r="C281" i="59"/>
  <c r="E275" i="59"/>
  <c r="C309" i="59"/>
  <c r="D308" i="59"/>
  <c r="E358" i="59"/>
  <c r="E220" i="59"/>
  <c r="E283" i="59"/>
  <c r="C13" i="59"/>
  <c r="D122" i="59"/>
  <c r="E200" i="59"/>
  <c r="D102" i="59"/>
  <c r="C190" i="59"/>
  <c r="E36" i="59"/>
  <c r="D42" i="59"/>
  <c r="D61" i="59"/>
  <c r="C115" i="59"/>
  <c r="E144" i="59"/>
  <c r="D149" i="59"/>
  <c r="C217" i="59"/>
  <c r="D77" i="59"/>
  <c r="E93" i="59"/>
  <c r="E192" i="59"/>
  <c r="E68" i="59"/>
  <c r="C167" i="59"/>
  <c r="D183" i="59"/>
  <c r="D156" i="59"/>
  <c r="C89" i="59"/>
  <c r="E255" i="59"/>
  <c r="D352" i="59"/>
  <c r="D82" i="59"/>
  <c r="E164" i="59"/>
  <c r="C196" i="59"/>
  <c r="E340" i="59"/>
  <c r="E55" i="59"/>
  <c r="C68" i="59"/>
  <c r="E298" i="59"/>
  <c r="E354" i="59"/>
  <c r="C153" i="59"/>
  <c r="C206" i="59"/>
  <c r="C274" i="59"/>
  <c r="E285" i="59"/>
  <c r="D271" i="59"/>
  <c r="E300" i="59"/>
  <c r="D357" i="59"/>
  <c r="D196" i="59"/>
  <c r="C283" i="59"/>
  <c r="D317" i="59"/>
  <c r="D99" i="59"/>
  <c r="D337" i="59"/>
  <c r="E97" i="59"/>
  <c r="E204" i="59"/>
  <c r="D73" i="59"/>
  <c r="D105" i="59"/>
  <c r="D96" i="59"/>
  <c r="E163" i="59"/>
  <c r="D53" i="59"/>
  <c r="C159" i="59"/>
  <c r="D201" i="59"/>
  <c r="E359" i="59"/>
  <c r="C108" i="59"/>
  <c r="E168" i="59"/>
  <c r="C58" i="59"/>
  <c r="C64" i="59"/>
  <c r="C162" i="59"/>
  <c r="C176" i="59"/>
  <c r="C80" i="59"/>
  <c r="D250" i="59"/>
  <c r="C316" i="59"/>
  <c r="E317" i="59"/>
  <c r="C172" i="59"/>
  <c r="D191" i="59"/>
  <c r="E322" i="59"/>
  <c r="D69" i="59"/>
  <c r="E49" i="59"/>
  <c r="E217" i="59"/>
  <c r="E327" i="59"/>
  <c r="E356" i="59"/>
  <c r="C195" i="59"/>
  <c r="C226" i="59"/>
  <c r="D252" i="59"/>
  <c r="E263" i="59"/>
  <c r="D249" i="59"/>
  <c r="E323" i="59"/>
  <c r="D180" i="59"/>
  <c r="E251" i="59"/>
  <c r="E280" i="59"/>
  <c r="C50" i="59"/>
  <c r="C313" i="59"/>
  <c r="D124" i="59"/>
  <c r="D198" i="59"/>
  <c r="C26" i="59"/>
  <c r="E64" i="59"/>
  <c r="C82" i="59"/>
  <c r="D170" i="59"/>
  <c r="D123" i="59"/>
  <c r="E126" i="59"/>
  <c r="C182" i="59"/>
  <c r="E328" i="59"/>
  <c r="C116" i="59"/>
  <c r="C178" i="59"/>
  <c r="C21" i="59"/>
  <c r="D55" i="59"/>
  <c r="E141" i="59"/>
  <c r="E171" i="59"/>
  <c r="D46" i="59"/>
  <c r="E242" i="59"/>
  <c r="E262" i="59"/>
  <c r="C63" i="59"/>
  <c r="D152" i="59"/>
  <c r="E319" i="59"/>
  <c r="E239" i="59"/>
  <c r="D319" i="59"/>
  <c r="C66" i="59"/>
  <c r="D217" i="59"/>
  <c r="E269" i="59"/>
  <c r="C361" i="59"/>
  <c r="E183" i="59"/>
  <c r="D209" i="59"/>
  <c r="C233" i="59"/>
  <c r="D229" i="59"/>
  <c r="C225" i="59"/>
  <c r="E311" i="59"/>
  <c r="D84" i="59"/>
  <c r="E185" i="59"/>
  <c r="C263" i="59"/>
  <c r="D48" i="59"/>
  <c r="D266" i="59"/>
  <c r="C120" i="59"/>
  <c r="C119" i="59"/>
  <c r="D63" i="59"/>
  <c r="D89" i="59"/>
  <c r="C228" i="59"/>
  <c r="E142" i="59"/>
  <c r="C371" i="59"/>
  <c r="C102" i="59"/>
  <c r="D202" i="59"/>
  <c r="D278" i="59"/>
  <c r="C92" i="59"/>
  <c r="E182" i="59"/>
  <c r="D66" i="59"/>
  <c r="D44" i="59"/>
  <c r="C110" i="59"/>
  <c r="E180" i="59"/>
  <c r="E40" i="59"/>
  <c r="D216" i="59"/>
  <c r="C252" i="59"/>
  <c r="C255" i="59"/>
  <c r="E128" i="59"/>
  <c r="C332" i="59"/>
  <c r="C341" i="59"/>
  <c r="C258" i="59"/>
  <c r="E330" i="59"/>
  <c r="E72" i="59"/>
  <c r="E270" i="59"/>
  <c r="D262" i="59"/>
  <c r="C302" i="59"/>
  <c r="C15" i="59"/>
  <c r="E206" i="59"/>
  <c r="D228" i="59"/>
  <c r="E224" i="59"/>
  <c r="C221" i="59"/>
  <c r="E273" i="59"/>
  <c r="E101" i="59"/>
  <c r="C175" i="59"/>
  <c r="D258" i="59"/>
  <c r="D39" i="59"/>
  <c r="E254" i="59"/>
  <c r="C96" i="59"/>
  <c r="E173" i="59"/>
  <c r="C85" i="59"/>
  <c r="C75" i="59"/>
  <c r="D134" i="59"/>
  <c r="E120" i="59"/>
  <c r="D316" i="59"/>
  <c r="E124" i="59"/>
  <c r="C107" i="59"/>
  <c r="D245" i="59"/>
  <c r="E112" i="59"/>
  <c r="C143" i="59"/>
  <c r="D136" i="59"/>
  <c r="C284" i="59"/>
  <c r="C78" i="59"/>
  <c r="D137" i="59"/>
  <c r="D97" i="59"/>
  <c r="D187" i="59"/>
  <c r="C237" i="59"/>
  <c r="E109" i="59"/>
  <c r="D116" i="59"/>
  <c r="D307" i="59"/>
  <c r="C317" i="59"/>
  <c r="D225" i="59"/>
  <c r="E325" i="59"/>
  <c r="C71" i="59"/>
  <c r="E199" i="59"/>
  <c r="D281" i="59"/>
  <c r="C314" i="59"/>
  <c r="D369" i="59"/>
  <c r="D192" i="59"/>
  <c r="C236" i="59"/>
  <c r="C224" i="59"/>
  <c r="C268" i="59"/>
  <c r="E293" i="59"/>
  <c r="E63" i="59"/>
  <c r="D159" i="59"/>
  <c r="D231" i="59"/>
  <c r="D80" i="59"/>
  <c r="D193" i="59"/>
  <c r="D43" i="59"/>
  <c r="C133" i="59"/>
  <c r="C56" i="59"/>
  <c r="E45" i="59"/>
  <c r="C134" i="59"/>
  <c r="C136" i="59"/>
  <c r="E278" i="59"/>
  <c r="C104" i="59"/>
  <c r="E155" i="59"/>
  <c r="D243" i="59"/>
  <c r="D83" i="59"/>
  <c r="E169" i="59"/>
  <c r="C184" i="59"/>
  <c r="D107" i="59"/>
  <c r="C30" i="59"/>
  <c r="C132" i="59"/>
  <c r="D104" i="59"/>
  <c r="C185" i="59"/>
  <c r="E172" i="59"/>
  <c r="E67" i="59"/>
  <c r="E159" i="59"/>
  <c r="C238" i="59"/>
  <c r="D186" i="59"/>
  <c r="D227" i="59"/>
  <c r="C180" i="59"/>
  <c r="C90" i="59"/>
  <c r="C202" i="59"/>
  <c r="E355" i="59"/>
  <c r="E175" i="59"/>
  <c r="E228" i="59"/>
  <c r="E257" i="59"/>
  <c r="E197" i="59"/>
  <c r="E174" i="59"/>
  <c r="C38" i="59"/>
  <c r="D129" i="59"/>
  <c r="C300" i="59"/>
  <c r="D78" i="59"/>
  <c r="D333" i="59"/>
  <c r="E213" i="59"/>
  <c r="C20" i="59"/>
  <c r="E91" i="59"/>
  <c r="E39" i="59"/>
  <c r="E116" i="59"/>
  <c r="D98" i="59"/>
  <c r="C45" i="59"/>
  <c r="C245" i="59"/>
  <c r="C262" i="59"/>
  <c r="C223" i="59"/>
  <c r="E52" i="59"/>
  <c r="C43" i="59"/>
  <c r="C197" i="59"/>
  <c r="C51" i="59"/>
  <c r="C339" i="59"/>
  <c r="D238" i="59"/>
  <c r="C308" i="59"/>
  <c r="C27" i="59"/>
  <c r="C37" i="59"/>
  <c r="C53" i="59"/>
  <c r="D175" i="59"/>
  <c r="E334" i="59"/>
  <c r="E138" i="59"/>
  <c r="D221" i="59"/>
  <c r="E295" i="59"/>
  <c r="E43" i="59"/>
  <c r="C205" i="59"/>
  <c r="C25" i="59"/>
  <c r="C198" i="59"/>
  <c r="D168" i="59"/>
  <c r="D93" i="59"/>
  <c r="E190" i="59"/>
  <c r="E318" i="59"/>
  <c r="C257" i="59"/>
  <c r="E202" i="59"/>
  <c r="D362" i="59"/>
  <c r="C100" i="59"/>
  <c r="E150" i="59"/>
  <c r="E71" i="59"/>
  <c r="D211" i="59"/>
  <c r="C346" i="59"/>
  <c r="D283" i="59"/>
  <c r="C123" i="59"/>
  <c r="E130" i="59"/>
  <c r="C34" i="59"/>
  <c r="D109" i="59"/>
  <c r="E312" i="59"/>
  <c r="C348" i="59"/>
  <c r="D270" i="59"/>
  <c r="E77" i="59"/>
  <c r="C105" i="59"/>
  <c r="E94" i="59"/>
  <c r="D112" i="59"/>
  <c r="E235" i="59"/>
  <c r="E349" i="59"/>
  <c r="C87" i="59"/>
  <c r="C54" i="59"/>
  <c r="D108" i="59"/>
  <c r="C142" i="59"/>
  <c r="D57" i="59"/>
  <c r="D254" i="59"/>
  <c r="C204" i="59"/>
  <c r="C112" i="59"/>
  <c r="D165" i="59"/>
  <c r="E245" i="59"/>
  <c r="E140" i="59"/>
  <c r="D65" i="59"/>
  <c r="C16" i="59"/>
  <c r="C191" i="59"/>
  <c r="C74" i="59"/>
  <c r="D143" i="59"/>
  <c r="D219" i="59"/>
  <c r="E127" i="59"/>
  <c r="D120" i="59"/>
  <c r="D172" i="59"/>
  <c r="D365" i="59"/>
  <c r="C124" i="59"/>
  <c r="D125" i="59"/>
  <c r="C209" i="59"/>
  <c r="C154" i="59"/>
  <c r="D92" i="59"/>
  <c r="C41" i="59"/>
  <c r="E292" i="59"/>
  <c r="E95" i="59"/>
  <c r="E105" i="59"/>
  <c r="D218" i="59"/>
  <c r="C81" i="59"/>
  <c r="C235" i="59"/>
  <c r="C99" i="59"/>
  <c r="E208" i="59"/>
  <c r="C220" i="59"/>
  <c r="C17" i="59"/>
  <c r="E151" i="59"/>
  <c r="C19" i="59"/>
  <c r="C109" i="59"/>
  <c r="E106" i="59"/>
  <c r="D184" i="59"/>
  <c r="D140" i="59"/>
  <c r="D51" i="59"/>
  <c r="C33" i="59"/>
  <c r="E42" i="59"/>
  <c r="E66" i="59"/>
  <c r="D16" i="59"/>
  <c r="D19" i="59"/>
  <c r="D22" i="59"/>
  <c r="E26" i="59"/>
  <c r="E15" i="59"/>
  <c r="E34" i="59"/>
  <c r="C8" i="61"/>
  <c r="C73" i="61"/>
  <c r="C21" i="61"/>
  <c r="C88" i="61"/>
  <c r="C42" i="61"/>
  <c r="C191" i="61"/>
  <c r="D41" i="61"/>
  <c r="E195" i="61"/>
  <c r="C78" i="61"/>
  <c r="D148" i="61"/>
  <c r="E352" i="61"/>
  <c r="D360" i="61"/>
  <c r="C98" i="61"/>
  <c r="E199" i="61"/>
  <c r="E54" i="61"/>
  <c r="E272" i="61"/>
  <c r="E284" i="61"/>
  <c r="E351" i="61"/>
  <c r="D195" i="61"/>
  <c r="E218" i="61"/>
  <c r="D92" i="61"/>
  <c r="D110" i="61"/>
  <c r="D271" i="61"/>
  <c r="E294" i="61"/>
  <c r="E136" i="61"/>
  <c r="E90" i="61"/>
  <c r="D283" i="61"/>
  <c r="E306" i="61"/>
  <c r="E104" i="61"/>
  <c r="D194" i="61"/>
  <c r="D325" i="61"/>
  <c r="E120" i="61"/>
  <c r="E42" i="61"/>
  <c r="D190" i="61"/>
  <c r="D337" i="61"/>
  <c r="E43" i="61"/>
  <c r="C171" i="61"/>
  <c r="E174" i="61"/>
  <c r="E225" i="61"/>
  <c r="D173" i="61"/>
  <c r="E260" i="61"/>
  <c r="D265" i="61"/>
  <c r="D87" i="61"/>
  <c r="D236" i="61"/>
  <c r="D270" i="61"/>
  <c r="D281" i="61"/>
  <c r="C116" i="61"/>
  <c r="C169" i="61"/>
  <c r="C152" i="61"/>
  <c r="C58" i="61"/>
  <c r="E53" i="61"/>
  <c r="E68" i="61"/>
  <c r="E316" i="61"/>
  <c r="C94" i="61"/>
  <c r="D82" i="61"/>
  <c r="E102" i="61"/>
  <c r="E65" i="61"/>
  <c r="C114" i="61"/>
  <c r="E72" i="61"/>
  <c r="D184" i="61"/>
  <c r="E252" i="61"/>
  <c r="E123" i="61"/>
  <c r="E335" i="61"/>
  <c r="D179" i="61"/>
  <c r="E202" i="61"/>
  <c r="D176" i="61"/>
  <c r="D146" i="61"/>
  <c r="D255" i="61"/>
  <c r="E278" i="61"/>
  <c r="D50" i="61"/>
  <c r="E115" i="61"/>
  <c r="D267" i="61"/>
  <c r="E290" i="61"/>
  <c r="E371" i="61"/>
  <c r="D178" i="61"/>
  <c r="D309" i="61"/>
  <c r="E152" i="61"/>
  <c r="E80" i="61"/>
  <c r="D174" i="61"/>
  <c r="D321" i="61"/>
  <c r="E71" i="61"/>
  <c r="C83" i="61"/>
  <c r="D346" i="61"/>
  <c r="E209" i="61"/>
  <c r="D125" i="61"/>
  <c r="E67" i="61"/>
  <c r="D201" i="61"/>
  <c r="E158" i="61"/>
  <c r="D279" i="61"/>
  <c r="D198" i="61"/>
  <c r="D153" i="61"/>
  <c r="C53" i="61"/>
  <c r="C100" i="61"/>
  <c r="C25" i="61"/>
  <c r="C74" i="61"/>
  <c r="D142" i="61"/>
  <c r="E93" i="61"/>
  <c r="D56" i="61"/>
  <c r="C110" i="61"/>
  <c r="D208" i="61"/>
  <c r="E208" i="61"/>
  <c r="C32" i="61"/>
  <c r="C130" i="61"/>
  <c r="E49" i="61"/>
  <c r="E228" i="61"/>
  <c r="D38" i="61"/>
  <c r="D150" i="61"/>
  <c r="E319" i="61"/>
  <c r="D163" i="61"/>
  <c r="E138" i="61"/>
  <c r="E127" i="61"/>
  <c r="D188" i="61"/>
  <c r="D239" i="61"/>
  <c r="E262" i="61"/>
  <c r="E308" i="61"/>
  <c r="D152" i="61"/>
  <c r="D251" i="61"/>
  <c r="E274" i="61"/>
  <c r="E307" i="61"/>
  <c r="E361" i="61"/>
  <c r="D293" i="61"/>
  <c r="E188" i="61"/>
  <c r="E227" i="61"/>
  <c r="E357" i="61"/>
  <c r="D305" i="61"/>
  <c r="E125" i="61"/>
  <c r="D49" i="61"/>
  <c r="D298" i="61"/>
  <c r="E193" i="61"/>
  <c r="D109" i="61"/>
  <c r="E121" i="61"/>
  <c r="D137" i="61"/>
  <c r="D250" i="61"/>
  <c r="E350" i="61"/>
  <c r="E333" i="61"/>
  <c r="E110" i="61"/>
  <c r="C153" i="61"/>
  <c r="C164" i="61"/>
  <c r="C89" i="61"/>
  <c r="C90" i="61"/>
  <c r="E160" i="61"/>
  <c r="D162" i="61"/>
  <c r="C28" i="61"/>
  <c r="C126" i="61"/>
  <c r="D40" i="61"/>
  <c r="E268" i="61"/>
  <c r="C64" i="61"/>
  <c r="C146" i="61"/>
  <c r="D228" i="61"/>
  <c r="E58" i="61"/>
  <c r="D70" i="61"/>
  <c r="E99" i="61"/>
  <c r="E303" i="61"/>
  <c r="D147" i="61"/>
  <c r="D358" i="61"/>
  <c r="E83" i="61"/>
  <c r="D300" i="61"/>
  <c r="D223" i="61"/>
  <c r="E198" i="61"/>
  <c r="E73" i="61"/>
  <c r="D196" i="61"/>
  <c r="D235" i="61"/>
  <c r="E258" i="61"/>
  <c r="E243" i="61"/>
  <c r="E345" i="61"/>
  <c r="D277" i="61"/>
  <c r="E236" i="61"/>
  <c r="D311" i="61"/>
  <c r="E341" i="61"/>
  <c r="D289" i="61"/>
  <c r="E159" i="61"/>
  <c r="E55" i="61"/>
  <c r="D274" i="61"/>
  <c r="E145" i="61"/>
  <c r="C85" i="61"/>
  <c r="C37" i="61"/>
  <c r="C20" i="61"/>
  <c r="C106" i="61"/>
  <c r="E191" i="61"/>
  <c r="D248" i="61"/>
  <c r="C60" i="61"/>
  <c r="C142" i="61"/>
  <c r="D288" i="61"/>
  <c r="E113" i="61"/>
  <c r="C96" i="61"/>
  <c r="C162" i="61"/>
  <c r="D268" i="61"/>
  <c r="E184" i="61"/>
  <c r="C44" i="61"/>
  <c r="D124" i="61"/>
  <c r="E287" i="61"/>
  <c r="D131" i="61"/>
  <c r="D342" i="61"/>
  <c r="E143" i="61"/>
  <c r="E363" i="61"/>
  <c r="D207" i="61"/>
  <c r="E182" i="61"/>
  <c r="D244" i="61"/>
  <c r="E320" i="61"/>
  <c r="D219" i="61"/>
  <c r="E194" i="61"/>
  <c r="D327" i="61"/>
  <c r="E329" i="61"/>
  <c r="D261" i="61"/>
  <c r="E364" i="61"/>
  <c r="C168" i="61"/>
  <c r="C101" i="61"/>
  <c r="C16" i="61"/>
  <c r="C122" i="61"/>
  <c r="E122" i="61"/>
  <c r="E108" i="61"/>
  <c r="C92" i="61"/>
  <c r="C158" i="61"/>
  <c r="E200" i="61"/>
  <c r="D138" i="61"/>
  <c r="C128" i="61"/>
  <c r="C178" i="61"/>
  <c r="E112" i="61"/>
  <c r="D312" i="61"/>
  <c r="C172" i="61"/>
  <c r="E75" i="61"/>
  <c r="E271" i="61"/>
  <c r="D67" i="61"/>
  <c r="D326" i="61"/>
  <c r="D108" i="61"/>
  <c r="E347" i="61"/>
  <c r="D191" i="61"/>
  <c r="E166" i="61"/>
  <c r="E79" i="61"/>
  <c r="E359" i="61"/>
  <c r="D203" i="61"/>
  <c r="E178" i="61"/>
  <c r="D263" i="61"/>
  <c r="E313" i="61"/>
  <c r="D245" i="61"/>
  <c r="E224" i="61"/>
  <c r="D183" i="61"/>
  <c r="E309" i="61"/>
  <c r="D257" i="61"/>
  <c r="D280" i="61"/>
  <c r="E124" i="61"/>
  <c r="D202" i="61"/>
  <c r="D349" i="61"/>
  <c r="E52" i="61"/>
  <c r="C12" i="61"/>
  <c r="D324" i="61"/>
  <c r="E253" i="61"/>
  <c r="E301" i="61"/>
  <c r="E141" i="61"/>
  <c r="D345" i="61"/>
  <c r="C52" i="61"/>
  <c r="C165" i="61"/>
  <c r="C48" i="61"/>
  <c r="C138" i="61"/>
  <c r="E155" i="61"/>
  <c r="D128" i="61"/>
  <c r="C124" i="61"/>
  <c r="C174" i="61"/>
  <c r="D352" i="61"/>
  <c r="D220" i="61"/>
  <c r="C160" i="61"/>
  <c r="C15" i="61"/>
  <c r="E82" i="61"/>
  <c r="D118" i="61"/>
  <c r="C109" i="61"/>
  <c r="E129" i="61"/>
  <c r="E255" i="61"/>
  <c r="D51" i="61"/>
  <c r="D310" i="61"/>
  <c r="D156" i="61"/>
  <c r="E331" i="61"/>
  <c r="D127" i="61"/>
  <c r="E150" i="61"/>
  <c r="E88" i="61"/>
  <c r="E343" i="61"/>
  <c r="D187" i="61"/>
  <c r="E162" i="61"/>
  <c r="D199" i="61"/>
  <c r="E297" i="61"/>
  <c r="D229" i="61"/>
  <c r="E344" i="61"/>
  <c r="D119" i="61"/>
  <c r="E293" i="61"/>
  <c r="D241" i="61"/>
  <c r="D48" i="61"/>
  <c r="D100" i="61"/>
  <c r="D186" i="61"/>
  <c r="D333" i="61"/>
  <c r="D76" i="61"/>
  <c r="C70" i="61"/>
  <c r="E207" i="61"/>
  <c r="E189" i="61"/>
  <c r="E173" i="61"/>
  <c r="D313" i="61"/>
  <c r="D166" i="61"/>
  <c r="C180" i="61"/>
  <c r="C56" i="61"/>
  <c r="C80" i="61"/>
  <c r="C154" i="61"/>
  <c r="E41" i="61"/>
  <c r="E211" i="61"/>
  <c r="C156" i="61"/>
  <c r="C190" i="61"/>
  <c r="D308" i="61"/>
  <c r="D356" i="61"/>
  <c r="C155" i="61"/>
  <c r="C31" i="61"/>
  <c r="D45" i="61"/>
  <c r="D144" i="61"/>
  <c r="C22" i="61"/>
  <c r="D276" i="61"/>
  <c r="E239" i="61"/>
  <c r="E362" i="61"/>
  <c r="D294" i="61"/>
  <c r="E220" i="61"/>
  <c r="E315" i="61"/>
  <c r="D111" i="61"/>
  <c r="D370" i="61"/>
  <c r="E192" i="61"/>
  <c r="E327" i="61"/>
  <c r="D123" i="61"/>
  <c r="E146" i="61"/>
  <c r="D135" i="61"/>
  <c r="E281" i="61"/>
  <c r="D213" i="61"/>
  <c r="E57" i="61"/>
  <c r="D55" i="61"/>
  <c r="E277" i="61"/>
  <c r="D225" i="61"/>
  <c r="E81" i="61"/>
  <c r="E275" i="61"/>
  <c r="E369" i="61"/>
  <c r="D317" i="61"/>
  <c r="D130" i="61"/>
  <c r="D204" i="61"/>
  <c r="D53" i="61"/>
  <c r="D361" i="61"/>
  <c r="D217" i="61"/>
  <c r="D185" i="61"/>
  <c r="D126" i="61"/>
  <c r="C117" i="61"/>
  <c r="C120" i="61"/>
  <c r="C112" i="61"/>
  <c r="C39" i="61"/>
  <c r="E37" i="61"/>
  <c r="E312" i="61"/>
  <c r="C188" i="61"/>
  <c r="C27" i="61"/>
  <c r="D332" i="61"/>
  <c r="E133" i="61"/>
  <c r="C33" i="61"/>
  <c r="C47" i="61"/>
  <c r="E63" i="61"/>
  <c r="E248" i="61"/>
  <c r="C86" i="61"/>
  <c r="E85" i="61"/>
  <c r="D323" i="61"/>
  <c r="E346" i="61"/>
  <c r="D278" i="61"/>
  <c r="D212" i="61"/>
  <c r="E299" i="61"/>
  <c r="D95" i="61"/>
  <c r="D354" i="61"/>
  <c r="D292" i="61"/>
  <c r="E311" i="61"/>
  <c r="D107" i="61"/>
  <c r="D366" i="61"/>
  <c r="D71" i="61"/>
  <c r="E265" i="61"/>
  <c r="D149" i="61"/>
  <c r="D106" i="61"/>
  <c r="E318" i="61"/>
  <c r="E261" i="61"/>
  <c r="D209" i="61"/>
  <c r="E130" i="61"/>
  <c r="D359" i="61"/>
  <c r="E353" i="61"/>
  <c r="D301" i="61"/>
  <c r="E172" i="61"/>
  <c r="E323" i="61"/>
  <c r="E131" i="61"/>
  <c r="D297" i="61"/>
  <c r="D89" i="61"/>
  <c r="D72" i="61"/>
  <c r="C72" i="61"/>
  <c r="C184" i="61"/>
  <c r="C144" i="61"/>
  <c r="C55" i="61"/>
  <c r="D78" i="61"/>
  <c r="E128" i="61"/>
  <c r="C29" i="61"/>
  <c r="C91" i="61"/>
  <c r="D168" i="61"/>
  <c r="E163" i="61"/>
  <c r="C65" i="61"/>
  <c r="C63" i="61"/>
  <c r="E148" i="61"/>
  <c r="D84" i="61"/>
  <c r="C150" i="61"/>
  <c r="E134" i="61"/>
  <c r="D307" i="61"/>
  <c r="E330" i="61"/>
  <c r="D262" i="61"/>
  <c r="E187" i="61"/>
  <c r="E235" i="61"/>
  <c r="D79" i="61"/>
  <c r="D338" i="61"/>
  <c r="D336" i="61"/>
  <c r="E295" i="61"/>
  <c r="D91" i="61"/>
  <c r="D350" i="61"/>
  <c r="E334" i="61"/>
  <c r="E249" i="61"/>
  <c r="D133" i="61"/>
  <c r="D216" i="61"/>
  <c r="C183" i="61"/>
  <c r="C57" i="61"/>
  <c r="C176" i="61"/>
  <c r="C71" i="61"/>
  <c r="D58" i="61"/>
  <c r="E156" i="61"/>
  <c r="C61" i="61"/>
  <c r="C107" i="61"/>
  <c r="E51" i="61"/>
  <c r="D272" i="61"/>
  <c r="C97" i="61"/>
  <c r="C127" i="61"/>
  <c r="D37" i="61"/>
  <c r="E144" i="61"/>
  <c r="C35" i="61"/>
  <c r="E204" i="61"/>
  <c r="D291" i="61"/>
  <c r="E314" i="61"/>
  <c r="D246" i="61"/>
  <c r="D80" i="61"/>
  <c r="D367" i="61"/>
  <c r="D63" i="61"/>
  <c r="D322" i="61"/>
  <c r="D316" i="61"/>
  <c r="E231" i="61"/>
  <c r="D75" i="61"/>
  <c r="D334" i="61"/>
  <c r="E270" i="61"/>
  <c r="E233" i="61"/>
  <c r="D117" i="61"/>
  <c r="E324" i="61"/>
  <c r="C137" i="61"/>
  <c r="C121" i="61"/>
  <c r="C113" i="61"/>
  <c r="C87" i="61"/>
  <c r="E244" i="61"/>
  <c r="D232" i="61"/>
  <c r="C93" i="61"/>
  <c r="C123" i="61"/>
  <c r="E36" i="61"/>
  <c r="D46" i="61"/>
  <c r="C129" i="61"/>
  <c r="C143" i="61"/>
  <c r="E107" i="61"/>
  <c r="D170" i="61"/>
  <c r="C99" i="61"/>
  <c r="E105" i="61"/>
  <c r="D275" i="61"/>
  <c r="E298" i="61"/>
  <c r="C76" i="61"/>
  <c r="D134" i="61"/>
  <c r="D351" i="61"/>
  <c r="D47" i="61"/>
  <c r="C108" i="61"/>
  <c r="D296" i="61"/>
  <c r="D363" i="61"/>
  <c r="D59" i="61"/>
  <c r="D318" i="61"/>
  <c r="E206" i="61"/>
  <c r="E169" i="61"/>
  <c r="D101" i="61"/>
  <c r="C77" i="61"/>
  <c r="C148" i="61"/>
  <c r="C185" i="61"/>
  <c r="C145" i="61"/>
  <c r="C103" i="61"/>
  <c r="D74" i="61"/>
  <c r="E356" i="61"/>
  <c r="C14" i="61"/>
  <c r="C139" i="61"/>
  <c r="E69" i="61"/>
  <c r="E89" i="61"/>
  <c r="C161" i="61"/>
  <c r="C175" i="61"/>
  <c r="E64" i="61"/>
  <c r="E292" i="61"/>
  <c r="C179" i="61"/>
  <c r="E140" i="61"/>
  <c r="D259" i="61"/>
  <c r="E282" i="61"/>
  <c r="C13" i="61"/>
  <c r="D140" i="61"/>
  <c r="D335" i="61"/>
  <c r="E358" i="61"/>
  <c r="C45" i="61"/>
  <c r="E114" i="61"/>
  <c r="D347" i="61"/>
  <c r="E370" i="61"/>
  <c r="D302" i="61"/>
  <c r="E142" i="61"/>
  <c r="E153" i="61"/>
  <c r="D85" i="61"/>
  <c r="C19" i="61"/>
  <c r="C84" i="61"/>
  <c r="C30" i="61"/>
  <c r="E126" i="61"/>
  <c r="D211" i="61"/>
  <c r="C173" i="61"/>
  <c r="D226" i="61"/>
  <c r="D282" i="61"/>
  <c r="D97" i="61"/>
  <c r="E366" i="61"/>
  <c r="D221" i="61"/>
  <c r="D290" i="61"/>
  <c r="D105" i="61"/>
  <c r="E269" i="61"/>
  <c r="C68" i="61"/>
  <c r="C46" i="61"/>
  <c r="D154" i="61"/>
  <c r="E266" i="61"/>
  <c r="C54" i="61"/>
  <c r="D210" i="61"/>
  <c r="D258" i="61"/>
  <c r="D81" i="61"/>
  <c r="E302" i="61"/>
  <c r="D205" i="61"/>
  <c r="D214" i="61"/>
  <c r="E61" i="61"/>
  <c r="E205" i="61"/>
  <c r="C133" i="61"/>
  <c r="C62" i="61"/>
  <c r="E264" i="61"/>
  <c r="E250" i="61"/>
  <c r="C118" i="61"/>
  <c r="E137" i="61"/>
  <c r="D206" i="61"/>
  <c r="D65" i="61"/>
  <c r="E238" i="61"/>
  <c r="D189" i="61"/>
  <c r="E221" i="61"/>
  <c r="E91" i="61"/>
  <c r="E368" i="61"/>
  <c r="C24" i="61"/>
  <c r="C163" i="61"/>
  <c r="D192" i="61"/>
  <c r="E234" i="61"/>
  <c r="E95" i="61"/>
  <c r="D357" i="61"/>
  <c r="E325" i="61"/>
  <c r="E196" i="61"/>
  <c r="D254" i="61"/>
  <c r="D93" i="61"/>
  <c r="E157" i="61"/>
  <c r="E106" i="61"/>
  <c r="D43" i="61"/>
  <c r="C177" i="61"/>
  <c r="D364" i="61"/>
  <c r="E40" i="61"/>
  <c r="C141" i="61"/>
  <c r="D158" i="61"/>
  <c r="D341" i="61"/>
  <c r="E245" i="61"/>
  <c r="E111" i="61"/>
  <c r="E337" i="61"/>
  <c r="D77" i="61"/>
  <c r="D329" i="61"/>
  <c r="E216" i="61"/>
  <c r="D169" i="61"/>
  <c r="D24" i="61"/>
  <c r="C187" i="61"/>
  <c r="E62" i="61"/>
  <c r="D60" i="61"/>
  <c r="C38" i="61"/>
  <c r="D256" i="61"/>
  <c r="D69" i="61"/>
  <c r="E229" i="61"/>
  <c r="D240" i="61"/>
  <c r="E321" i="61"/>
  <c r="E215" i="61"/>
  <c r="D73" i="61"/>
  <c r="C147" i="61"/>
  <c r="D224" i="61"/>
  <c r="D25" i="61"/>
  <c r="C26" i="61"/>
  <c r="D54" i="61"/>
  <c r="D94" i="61"/>
  <c r="C115" i="61"/>
  <c r="D331" i="61"/>
  <c r="D39" i="61"/>
  <c r="E213" i="61"/>
  <c r="D368" i="61"/>
  <c r="E305" i="61"/>
  <c r="E300" i="61"/>
  <c r="E135" i="61"/>
  <c r="E74" i="61"/>
  <c r="E48" i="61"/>
  <c r="D26" i="61"/>
  <c r="C119" i="61"/>
  <c r="D64" i="61"/>
  <c r="E203" i="61"/>
  <c r="E223" i="61"/>
  <c r="D315" i="61"/>
  <c r="D66" i="61"/>
  <c r="E197" i="61"/>
  <c r="D62" i="61"/>
  <c r="E289" i="61"/>
  <c r="E56" i="61"/>
  <c r="D348" i="61"/>
  <c r="D330" i="61"/>
  <c r="D230" i="61"/>
  <c r="C135" i="61"/>
  <c r="E59" i="61"/>
  <c r="E175" i="61"/>
  <c r="E340" i="61"/>
  <c r="D299" i="61"/>
  <c r="E77" i="61"/>
  <c r="E149" i="61"/>
  <c r="E116" i="61"/>
  <c r="E273" i="61"/>
  <c r="D57" i="61"/>
  <c r="D249" i="61"/>
  <c r="E365" i="61"/>
  <c r="E237" i="61"/>
  <c r="C159" i="61"/>
  <c r="E139" i="61"/>
  <c r="D36" i="61"/>
  <c r="D61" i="61"/>
  <c r="E354" i="61"/>
  <c r="E219" i="61"/>
  <c r="D369" i="61"/>
  <c r="D136" i="61"/>
  <c r="E257" i="61"/>
  <c r="D86" i="61"/>
  <c r="E66" i="61"/>
  <c r="D344" i="61"/>
  <c r="E101" i="61"/>
  <c r="E98" i="61"/>
  <c r="D252" i="61"/>
  <c r="D88" i="61"/>
  <c r="D319" i="61"/>
  <c r="E338" i="61"/>
  <c r="E332" i="61"/>
  <c r="D353" i="61"/>
  <c r="E240" i="61"/>
  <c r="E241" i="61"/>
  <c r="E147" i="61"/>
  <c r="D304" i="61"/>
  <c r="D44" i="61"/>
  <c r="E304" i="61"/>
  <c r="D200" i="61"/>
  <c r="E60" i="61"/>
  <c r="D180" i="61"/>
  <c r="D303" i="61"/>
  <c r="E322" i="61"/>
  <c r="D247" i="61"/>
  <c r="D273" i="61"/>
  <c r="E118" i="61"/>
  <c r="D365" i="61"/>
  <c r="D116" i="61"/>
  <c r="E167" i="61"/>
  <c r="D68" i="61"/>
  <c r="E14" i="61"/>
  <c r="E78" i="61"/>
  <c r="C50" i="61"/>
  <c r="E256" i="61"/>
  <c r="D287" i="61"/>
  <c r="C140" i="61"/>
  <c r="E254" i="61"/>
  <c r="D193" i="61"/>
  <c r="D295" i="61"/>
  <c r="D285" i="61"/>
  <c r="D160" i="61"/>
  <c r="E45" i="61"/>
  <c r="E164" i="61"/>
  <c r="E18" i="61"/>
  <c r="C181" i="61"/>
  <c r="E84" i="61"/>
  <c r="C66" i="61"/>
  <c r="E367" i="61"/>
  <c r="E342" i="61"/>
  <c r="C134" i="61"/>
  <c r="E190" i="61"/>
  <c r="D177" i="61"/>
  <c r="D231" i="61"/>
  <c r="D269" i="61"/>
  <c r="D284" i="61"/>
  <c r="D343" i="61"/>
  <c r="E259" i="61"/>
  <c r="D104" i="61"/>
  <c r="D253" i="61"/>
  <c r="E151" i="61"/>
  <c r="D237" i="61"/>
  <c r="C82" i="61"/>
  <c r="D215" i="61"/>
  <c r="E19" i="61"/>
  <c r="D264" i="61"/>
  <c r="E286" i="61"/>
  <c r="D243" i="61"/>
  <c r="D182" i="61"/>
  <c r="D227" i="61"/>
  <c r="E317" i="61"/>
  <c r="E326" i="61"/>
  <c r="D151" i="61"/>
  <c r="E310" i="61"/>
  <c r="E222" i="61"/>
  <c r="E92" i="61"/>
  <c r="D314" i="61"/>
  <c r="F12" i="61"/>
  <c r="D362" i="61"/>
  <c r="D306" i="61"/>
  <c r="D129" i="61"/>
  <c r="C40" i="61"/>
  <c r="C105" i="61"/>
  <c r="D113" i="61"/>
  <c r="D167" i="61"/>
  <c r="D103" i="61"/>
  <c r="P24" i="60"/>
  <c r="S24" i="60" s="1"/>
  <c r="D15" i="59"/>
  <c r="D21" i="61"/>
  <c r="E29" i="59"/>
  <c r="E31" i="61"/>
  <c r="D14" i="61"/>
  <c r="D20" i="59"/>
  <c r="D29" i="59"/>
  <c r="D13" i="61"/>
  <c r="P25" i="60" s="1"/>
  <c r="D35" i="59"/>
  <c r="E30" i="61"/>
  <c r="E14" i="59"/>
  <c r="E27" i="59" l="1"/>
  <c r="E17" i="59"/>
  <c r="D30" i="59"/>
  <c r="C23" i="59"/>
  <c r="C12" i="59"/>
  <c r="L24" i="60" s="1"/>
  <c r="D12" i="59"/>
  <c r="H38" i="60" s="1"/>
  <c r="K38" i="60" s="1"/>
  <c r="I24" i="60"/>
  <c r="K12" i="59"/>
  <c r="K13" i="59" s="1"/>
  <c r="K14" i="59" s="1"/>
  <c r="K15" i="59" s="1"/>
  <c r="I25" i="60"/>
  <c r="H29" i="60"/>
  <c r="K29" i="60" s="1"/>
  <c r="H26" i="60"/>
  <c r="K26" i="60" s="1"/>
  <c r="H30" i="60"/>
  <c r="K30" i="60" s="1"/>
  <c r="I35" i="60"/>
  <c r="Q28" i="60"/>
  <c r="Q25" i="60"/>
  <c r="R25" i="60" s="1"/>
  <c r="Q37" i="60"/>
  <c r="Q34" i="60"/>
  <c r="Q29" i="60"/>
  <c r="P41" i="60"/>
  <c r="S41" i="60" s="1"/>
  <c r="I39" i="60"/>
  <c r="P35" i="60"/>
  <c r="P27" i="60"/>
  <c r="S27" i="60" s="1"/>
  <c r="H27" i="60"/>
  <c r="K27" i="60" s="1"/>
  <c r="P42" i="60"/>
  <c r="S42" i="60" s="1"/>
  <c r="P47" i="60"/>
  <c r="S47" i="60" s="1"/>
  <c r="H47" i="60"/>
  <c r="K47" i="60" s="1"/>
  <c r="Q47" i="60"/>
  <c r="P46" i="60"/>
  <c r="S46" i="60" s="1"/>
  <c r="P26" i="60"/>
  <c r="P38" i="60"/>
  <c r="P30" i="60"/>
  <c r="Q45" i="60"/>
  <c r="S25" i="60"/>
  <c r="P40" i="60"/>
  <c r="P33" i="60"/>
  <c r="H42" i="60"/>
  <c r="K42" i="60" s="1"/>
  <c r="Q39" i="60"/>
  <c r="Q32" i="60"/>
  <c r="I33" i="60"/>
  <c r="P31" i="60"/>
  <c r="H40" i="60"/>
  <c r="K40" i="60" s="1"/>
  <c r="Q30" i="60"/>
  <c r="I44" i="60"/>
  <c r="H31" i="60"/>
  <c r="K31" i="60" s="1"/>
  <c r="Q44" i="60"/>
  <c r="Q43" i="60"/>
  <c r="I27" i="60"/>
  <c r="Q35" i="60"/>
  <c r="Q26" i="60"/>
  <c r="H28" i="60"/>
  <c r="K28" i="60" s="1"/>
  <c r="Q27" i="60"/>
  <c r="Q41" i="60"/>
  <c r="I42" i="60"/>
  <c r="P28" i="60"/>
  <c r="P45" i="60"/>
  <c r="H41" i="60"/>
  <c r="K41" i="60" s="1"/>
  <c r="Q33" i="60"/>
  <c r="I41" i="60"/>
  <c r="I40" i="60"/>
  <c r="H32" i="60"/>
  <c r="K32" i="60" s="1"/>
  <c r="H45" i="60"/>
  <c r="K45" i="60" s="1"/>
  <c r="Q46" i="60"/>
  <c r="I45" i="60"/>
  <c r="I31" i="60"/>
  <c r="I46" i="60"/>
  <c r="H34" i="60"/>
  <c r="K34" i="60" s="1"/>
  <c r="Q42" i="60"/>
  <c r="I32" i="60"/>
  <c r="I38" i="60"/>
  <c r="P36" i="60"/>
  <c r="P32" i="60"/>
  <c r="H39" i="60"/>
  <c r="K39" i="60" s="1"/>
  <c r="H43" i="60"/>
  <c r="K43" i="60" s="1"/>
  <c r="Q40" i="60"/>
  <c r="I36" i="60"/>
  <c r="P34" i="60"/>
  <c r="P29" i="60"/>
  <c r="P39" i="60"/>
  <c r="R24" i="60"/>
  <c r="F13" i="61"/>
  <c r="F14" i="61" s="1"/>
  <c r="F15" i="61" s="1"/>
  <c r="F16" i="61" s="1"/>
  <c r="F17" i="61" s="1"/>
  <c r="F18" i="61" s="1"/>
  <c r="F19" i="61" s="1"/>
  <c r="F20" i="61" s="1"/>
  <c r="F21" i="61" s="1"/>
  <c r="F22" i="61" s="1"/>
  <c r="F23" i="61" s="1"/>
  <c r="F24" i="61" s="1"/>
  <c r="F25" i="61" s="1"/>
  <c r="F26" i="61" s="1"/>
  <c r="F27" i="61" s="1"/>
  <c r="F28" i="61" s="1"/>
  <c r="F29" i="61" s="1"/>
  <c r="F30" i="61" s="1"/>
  <c r="F31" i="61" s="1"/>
  <c r="F32" i="61" s="1"/>
  <c r="F33" i="61" s="1"/>
  <c r="F34" i="61" s="1"/>
  <c r="F35" i="61" s="1"/>
  <c r="F36" i="61" s="1"/>
  <c r="F37" i="61" s="1"/>
  <c r="F38" i="61" s="1"/>
  <c r="F39" i="61" s="1"/>
  <c r="F40" i="61" s="1"/>
  <c r="F41" i="61" s="1"/>
  <c r="F42" i="61" s="1"/>
  <c r="F43" i="61" s="1"/>
  <c r="F44" i="61" s="1"/>
  <c r="F45" i="61" s="1"/>
  <c r="F46" i="61" s="1"/>
  <c r="F47" i="61" s="1"/>
  <c r="F48" i="61" s="1"/>
  <c r="F49" i="61" s="1"/>
  <c r="F50" i="61" s="1"/>
  <c r="F51" i="61" s="1"/>
  <c r="F52" i="61" s="1"/>
  <c r="F53" i="61" s="1"/>
  <c r="F54" i="61" s="1"/>
  <c r="F55" i="61" s="1"/>
  <c r="F56" i="61" s="1"/>
  <c r="F57" i="61" s="1"/>
  <c r="F58" i="61" s="1"/>
  <c r="F59" i="61" s="1"/>
  <c r="F60" i="61" s="1"/>
  <c r="F61" i="61" s="1"/>
  <c r="F62" i="61" s="1"/>
  <c r="F63" i="61" s="1"/>
  <c r="F64" i="61" s="1"/>
  <c r="F65" i="61" s="1"/>
  <c r="F66" i="61" s="1"/>
  <c r="F67" i="61" s="1"/>
  <c r="F68" i="61" s="1"/>
  <c r="F69" i="61" s="1"/>
  <c r="F70" i="61" s="1"/>
  <c r="F71" i="61" s="1"/>
  <c r="F72" i="61" s="1"/>
  <c r="F73" i="61" s="1"/>
  <c r="F74" i="61" s="1"/>
  <c r="F75" i="61" s="1"/>
  <c r="F76" i="61" s="1"/>
  <c r="F77" i="61" s="1"/>
  <c r="F78" i="61" s="1"/>
  <c r="F79" i="61" s="1"/>
  <c r="F80" i="61" s="1"/>
  <c r="F81" i="61" s="1"/>
  <c r="F82" i="61" s="1"/>
  <c r="F83" i="61" s="1"/>
  <c r="F84" i="61" s="1"/>
  <c r="F85" i="61" s="1"/>
  <c r="F86" i="61" s="1"/>
  <c r="F87" i="61" s="1"/>
  <c r="F88" i="61" s="1"/>
  <c r="F89" i="61" s="1"/>
  <c r="F90" i="61" s="1"/>
  <c r="F91" i="61" s="1"/>
  <c r="F92" i="61" s="1"/>
  <c r="F93" i="61" s="1"/>
  <c r="F94" i="61" s="1"/>
  <c r="F95" i="61" s="1"/>
  <c r="F96" i="61" s="1"/>
  <c r="F97" i="61" s="1"/>
  <c r="F98" i="61" s="1"/>
  <c r="F99" i="61" s="1"/>
  <c r="F100" i="61" s="1"/>
  <c r="F101" i="61" s="1"/>
  <c r="F102" i="61" s="1"/>
  <c r="F103" i="61" s="1"/>
  <c r="F104" i="61" s="1"/>
  <c r="F105" i="61" s="1"/>
  <c r="F106" i="61" s="1"/>
  <c r="F107" i="61" s="1"/>
  <c r="F108" i="61" s="1"/>
  <c r="F109" i="61" s="1"/>
  <c r="F110" i="61" s="1"/>
  <c r="F111" i="61" s="1"/>
  <c r="F112" i="61" s="1"/>
  <c r="F113" i="61" s="1"/>
  <c r="F114" i="61" s="1"/>
  <c r="F115" i="61" s="1"/>
  <c r="F116" i="61" s="1"/>
  <c r="F117" i="61" s="1"/>
  <c r="F118" i="61" s="1"/>
  <c r="F119" i="61" s="1"/>
  <c r="F120" i="61" s="1"/>
  <c r="F121" i="61" s="1"/>
  <c r="F122" i="61" s="1"/>
  <c r="F123" i="61" s="1"/>
  <c r="F124" i="61" s="1"/>
  <c r="F125" i="61" s="1"/>
  <c r="F126" i="61" s="1"/>
  <c r="F127" i="61" s="1"/>
  <c r="F128" i="61" s="1"/>
  <c r="F129" i="61" s="1"/>
  <c r="F130" i="61" s="1"/>
  <c r="F131" i="61" s="1"/>
  <c r="F132" i="61" s="1"/>
  <c r="F133" i="61" s="1"/>
  <c r="F134" i="61" s="1"/>
  <c r="F135" i="61" s="1"/>
  <c r="F136" i="61" s="1"/>
  <c r="F137" i="61" s="1"/>
  <c r="F138" i="61" s="1"/>
  <c r="F139" i="61" s="1"/>
  <c r="F140" i="61" s="1"/>
  <c r="F141" i="61" s="1"/>
  <c r="F142" i="61" s="1"/>
  <c r="F143" i="61" s="1"/>
  <c r="F144" i="61" s="1"/>
  <c r="F145" i="61" s="1"/>
  <c r="F146" i="61" s="1"/>
  <c r="F147" i="61" s="1"/>
  <c r="F148" i="61" s="1"/>
  <c r="F149" i="61" s="1"/>
  <c r="F150" i="61" s="1"/>
  <c r="F151" i="61" s="1"/>
  <c r="F152" i="61" s="1"/>
  <c r="F153" i="61" s="1"/>
  <c r="F154" i="61" s="1"/>
  <c r="F155" i="61" s="1"/>
  <c r="F156" i="61" s="1"/>
  <c r="F157" i="61" s="1"/>
  <c r="F158" i="61" s="1"/>
  <c r="F159" i="61" s="1"/>
  <c r="F160" i="61" s="1"/>
  <c r="F161" i="61" s="1"/>
  <c r="F162" i="61" s="1"/>
  <c r="F163" i="61" s="1"/>
  <c r="F164" i="61" s="1"/>
  <c r="F165" i="61" s="1"/>
  <c r="F166" i="61" s="1"/>
  <c r="F167" i="61" s="1"/>
  <c r="F168" i="61" s="1"/>
  <c r="F169" i="61" s="1"/>
  <c r="F170" i="61" s="1"/>
  <c r="F171" i="61" s="1"/>
  <c r="F172" i="61" s="1"/>
  <c r="F173" i="61" s="1"/>
  <c r="F174" i="61" s="1"/>
  <c r="F175" i="61" s="1"/>
  <c r="F176" i="61" s="1"/>
  <c r="F177" i="61" s="1"/>
  <c r="F178" i="61" s="1"/>
  <c r="F179" i="61" s="1"/>
  <c r="F180" i="61" s="1"/>
  <c r="F181" i="61" s="1"/>
  <c r="F182" i="61" s="1"/>
  <c r="F183" i="61" s="1"/>
  <c r="F184" i="61" s="1"/>
  <c r="F185" i="61" s="1"/>
  <c r="F186" i="61" s="1"/>
  <c r="F187" i="61" s="1"/>
  <c r="F188" i="61" s="1"/>
  <c r="F189" i="61" s="1"/>
  <c r="F190" i="61" s="1"/>
  <c r="F191" i="61" s="1"/>
  <c r="F192" i="61" s="1"/>
  <c r="F193" i="61" s="1"/>
  <c r="F194" i="61" s="1"/>
  <c r="F195" i="61" s="1"/>
  <c r="F196" i="61" s="1"/>
  <c r="F197" i="61" s="1"/>
  <c r="F198" i="61" s="1"/>
  <c r="F199" i="61" s="1"/>
  <c r="F200" i="61" s="1"/>
  <c r="F201" i="61" s="1"/>
  <c r="F202" i="61" s="1"/>
  <c r="F203" i="61" s="1"/>
  <c r="F204" i="61" s="1"/>
  <c r="F205" i="61" s="1"/>
  <c r="F206" i="61" s="1"/>
  <c r="F207" i="61" s="1"/>
  <c r="F208" i="61" s="1"/>
  <c r="F209" i="61" s="1"/>
  <c r="F210" i="61" s="1"/>
  <c r="F211" i="61" s="1"/>
  <c r="F212" i="61" s="1"/>
  <c r="F213" i="61" s="1"/>
  <c r="F214" i="61" s="1"/>
  <c r="F215" i="61" s="1"/>
  <c r="F216" i="61" s="1"/>
  <c r="F217" i="61" s="1"/>
  <c r="F218" i="61" s="1"/>
  <c r="F219" i="61" s="1"/>
  <c r="F220" i="61" s="1"/>
  <c r="F221" i="61" s="1"/>
  <c r="F222" i="61" s="1"/>
  <c r="F223" i="61" s="1"/>
  <c r="F224" i="61" s="1"/>
  <c r="F225" i="61" s="1"/>
  <c r="F226" i="61" s="1"/>
  <c r="F227" i="61" s="1"/>
  <c r="F228" i="61" s="1"/>
  <c r="F229" i="61" s="1"/>
  <c r="F230" i="61" s="1"/>
  <c r="F231" i="61" s="1"/>
  <c r="F232" i="61" s="1"/>
  <c r="F233" i="61" s="1"/>
  <c r="F234" i="61" s="1"/>
  <c r="F235" i="61" s="1"/>
  <c r="F236" i="61" s="1"/>
  <c r="F237" i="61" s="1"/>
  <c r="F238" i="61" s="1"/>
  <c r="F239" i="61" s="1"/>
  <c r="F240" i="61" s="1"/>
  <c r="F241" i="61" s="1"/>
  <c r="F242" i="61" s="1"/>
  <c r="F243" i="61" s="1"/>
  <c r="F244" i="61" s="1"/>
  <c r="F245" i="61" s="1"/>
  <c r="F246" i="61" s="1"/>
  <c r="F247" i="61" s="1"/>
  <c r="F248" i="61" s="1"/>
  <c r="F249" i="61" s="1"/>
  <c r="F250" i="61" s="1"/>
  <c r="F251" i="61" s="1"/>
  <c r="F252" i="61" s="1"/>
  <c r="F253" i="61" s="1"/>
  <c r="F254" i="61" s="1"/>
  <c r="F255" i="61" s="1"/>
  <c r="F256" i="61" s="1"/>
  <c r="F257" i="61" s="1"/>
  <c r="F258" i="61" s="1"/>
  <c r="F259" i="61" s="1"/>
  <c r="F260" i="61" s="1"/>
  <c r="F261" i="61" s="1"/>
  <c r="F262" i="61" s="1"/>
  <c r="F263" i="61" s="1"/>
  <c r="F264" i="61" s="1"/>
  <c r="F265" i="61" s="1"/>
  <c r="F266" i="61" s="1"/>
  <c r="F267" i="61" s="1"/>
  <c r="F268" i="61" s="1"/>
  <c r="F269" i="61" s="1"/>
  <c r="F270" i="61" s="1"/>
  <c r="F271" i="61" s="1"/>
  <c r="F272" i="61" s="1"/>
  <c r="F273" i="61" s="1"/>
  <c r="F274" i="61" s="1"/>
  <c r="F275" i="61" s="1"/>
  <c r="F276" i="61" s="1"/>
  <c r="F277" i="61" s="1"/>
  <c r="F278" i="61" s="1"/>
  <c r="F279" i="61" s="1"/>
  <c r="F280" i="61" s="1"/>
  <c r="F281" i="61" s="1"/>
  <c r="F282" i="61" s="1"/>
  <c r="F283" i="61" s="1"/>
  <c r="F284" i="61" s="1"/>
  <c r="F285" i="61" s="1"/>
  <c r="F286" i="61" s="1"/>
  <c r="F287" i="61" s="1"/>
  <c r="F288" i="61" s="1"/>
  <c r="F289" i="61" s="1"/>
  <c r="F290" i="61" s="1"/>
  <c r="F291" i="61" s="1"/>
  <c r="F292" i="61" s="1"/>
  <c r="F293" i="61" s="1"/>
  <c r="F294" i="61" s="1"/>
  <c r="F295" i="61" s="1"/>
  <c r="F296" i="61" s="1"/>
  <c r="F297" i="61" s="1"/>
  <c r="F298" i="61" s="1"/>
  <c r="F299" i="61" s="1"/>
  <c r="F300" i="61" s="1"/>
  <c r="F301" i="61" s="1"/>
  <c r="F302" i="61" s="1"/>
  <c r="F303" i="61" s="1"/>
  <c r="F304" i="61" s="1"/>
  <c r="F305" i="61" s="1"/>
  <c r="F306" i="61" s="1"/>
  <c r="F307" i="61" s="1"/>
  <c r="F308" i="61" s="1"/>
  <c r="F309" i="61" s="1"/>
  <c r="F310" i="61" s="1"/>
  <c r="F311" i="61" s="1"/>
  <c r="F312" i="61" s="1"/>
  <c r="F313" i="61" s="1"/>
  <c r="F314" i="61" s="1"/>
  <c r="F315" i="61" s="1"/>
  <c r="F316" i="61" s="1"/>
  <c r="F317" i="61" s="1"/>
  <c r="F318" i="61" s="1"/>
  <c r="F319" i="61" s="1"/>
  <c r="F320" i="61" s="1"/>
  <c r="F321" i="61" s="1"/>
  <c r="F322" i="61" s="1"/>
  <c r="F323" i="61" s="1"/>
  <c r="F324" i="61" s="1"/>
  <c r="F325" i="61" s="1"/>
  <c r="F326" i="61" s="1"/>
  <c r="F327" i="61" s="1"/>
  <c r="F328" i="61" s="1"/>
  <c r="F329" i="61" s="1"/>
  <c r="F330" i="61" s="1"/>
  <c r="F331" i="61" s="1"/>
  <c r="F332" i="61" s="1"/>
  <c r="F333" i="61" s="1"/>
  <c r="F334" i="61" s="1"/>
  <c r="F335" i="61" s="1"/>
  <c r="F336" i="61" s="1"/>
  <c r="F337" i="61" s="1"/>
  <c r="F338" i="61" s="1"/>
  <c r="F339" i="61" s="1"/>
  <c r="F340" i="61" s="1"/>
  <c r="F341" i="61" s="1"/>
  <c r="F342" i="61" s="1"/>
  <c r="F343" i="61" s="1"/>
  <c r="F344" i="61" s="1"/>
  <c r="F345" i="61" s="1"/>
  <c r="F346" i="61" s="1"/>
  <c r="F347" i="61" s="1"/>
  <c r="F348" i="61" s="1"/>
  <c r="F349" i="61" s="1"/>
  <c r="F350" i="61" s="1"/>
  <c r="F351" i="61" s="1"/>
  <c r="F352" i="61" s="1"/>
  <c r="F353" i="61" s="1"/>
  <c r="F354" i="61" s="1"/>
  <c r="F355" i="61" s="1"/>
  <c r="F356" i="61" s="1"/>
  <c r="F357" i="61" s="1"/>
  <c r="F358" i="61" s="1"/>
  <c r="F359" i="61" s="1"/>
  <c r="F360" i="61" s="1"/>
  <c r="F361" i="61" s="1"/>
  <c r="F362" i="61" s="1"/>
  <c r="F363" i="61" s="1"/>
  <c r="F364" i="61" s="1"/>
  <c r="F365" i="61" s="1"/>
  <c r="F366" i="61" s="1"/>
  <c r="F367" i="61" s="1"/>
  <c r="F368" i="61" s="1"/>
  <c r="F369" i="61" s="1"/>
  <c r="F370" i="61" s="1"/>
  <c r="F371" i="61" s="1"/>
  <c r="H37" i="60"/>
  <c r="K37" i="60" s="1"/>
  <c r="H35" i="60"/>
  <c r="K35" i="60" s="1"/>
  <c r="Q31" i="60"/>
  <c r="I47" i="60"/>
  <c r="I26" i="60"/>
  <c r="I37" i="60"/>
  <c r="P43" i="60"/>
  <c r="H33" i="60"/>
  <c r="K33" i="60" s="1"/>
  <c r="H46" i="60"/>
  <c r="K46" i="60" s="1"/>
  <c r="Q36" i="60"/>
  <c r="I34" i="60"/>
  <c r="I28" i="60"/>
  <c r="P37" i="60"/>
  <c r="P44" i="60"/>
  <c r="Q38" i="60"/>
  <c r="I29" i="60"/>
  <c r="I43" i="60"/>
  <c r="H44" i="60"/>
  <c r="K44" i="60" s="1"/>
  <c r="I30" i="60"/>
  <c r="H36" i="60" l="1"/>
  <c r="K36" i="60" s="1"/>
  <c r="J26" i="60"/>
  <c r="R47" i="60"/>
  <c r="D27" i="60"/>
  <c r="J46" i="60"/>
  <c r="H25" i="60"/>
  <c r="H24" i="60"/>
  <c r="D24" i="60" s="1"/>
  <c r="F12" i="59"/>
  <c r="F13" i="59" s="1"/>
  <c r="F14" i="59" s="1"/>
  <c r="F15" i="59" s="1"/>
  <c r="F16" i="59" s="1"/>
  <c r="F17" i="59" s="1"/>
  <c r="F18" i="59" s="1"/>
  <c r="F19" i="59" s="1"/>
  <c r="F20" i="59" s="1"/>
  <c r="F21" i="59" s="1"/>
  <c r="F22" i="59" s="1"/>
  <c r="F23" i="59" s="1"/>
  <c r="F24" i="59" s="1"/>
  <c r="F25" i="59" s="1"/>
  <c r="F26" i="59" s="1"/>
  <c r="F27" i="59" s="1"/>
  <c r="F28" i="59" s="1"/>
  <c r="F29" i="59" s="1"/>
  <c r="F30" i="59" s="1"/>
  <c r="F31" i="59" s="1"/>
  <c r="F32" i="59" s="1"/>
  <c r="F33" i="59" s="1"/>
  <c r="F34" i="59" s="1"/>
  <c r="F35" i="59" s="1"/>
  <c r="F36" i="59" s="1"/>
  <c r="F37" i="59" s="1"/>
  <c r="F38" i="59" s="1"/>
  <c r="F39" i="59" s="1"/>
  <c r="F40" i="59" s="1"/>
  <c r="F41" i="59" s="1"/>
  <c r="F42" i="59" s="1"/>
  <c r="F43" i="59" s="1"/>
  <c r="F44" i="59" s="1"/>
  <c r="F45" i="59" s="1"/>
  <c r="F46" i="59" s="1"/>
  <c r="F47" i="59" s="1"/>
  <c r="F48" i="59" s="1"/>
  <c r="F49" i="59" s="1"/>
  <c r="F50" i="59" s="1"/>
  <c r="F51" i="59" s="1"/>
  <c r="F52" i="59" s="1"/>
  <c r="F53" i="59" s="1"/>
  <c r="F54" i="59" s="1"/>
  <c r="F55" i="59" s="1"/>
  <c r="F56" i="59" s="1"/>
  <c r="F57" i="59" s="1"/>
  <c r="F58" i="59" s="1"/>
  <c r="F59" i="59" s="1"/>
  <c r="F60" i="59" s="1"/>
  <c r="F61" i="59" s="1"/>
  <c r="F62" i="59" s="1"/>
  <c r="F63" i="59" s="1"/>
  <c r="F64" i="59" s="1"/>
  <c r="F65" i="59" s="1"/>
  <c r="F66" i="59" s="1"/>
  <c r="F67" i="59" s="1"/>
  <c r="F68" i="59" s="1"/>
  <c r="F69" i="59" s="1"/>
  <c r="F70" i="59" s="1"/>
  <c r="F71" i="59" s="1"/>
  <c r="F72" i="59" s="1"/>
  <c r="F73" i="59" s="1"/>
  <c r="F74" i="59" s="1"/>
  <c r="F75" i="59" s="1"/>
  <c r="F76" i="59" s="1"/>
  <c r="F77" i="59" s="1"/>
  <c r="F78" i="59" s="1"/>
  <c r="F79" i="59" s="1"/>
  <c r="F80" i="59" s="1"/>
  <c r="F81" i="59" s="1"/>
  <c r="F82" i="59" s="1"/>
  <c r="F83" i="59" s="1"/>
  <c r="F84" i="59" s="1"/>
  <c r="F85" i="59" s="1"/>
  <c r="F86" i="59" s="1"/>
  <c r="F87" i="59" s="1"/>
  <c r="F88" i="59" s="1"/>
  <c r="F89" i="59" s="1"/>
  <c r="F90" i="59" s="1"/>
  <c r="F91" i="59" s="1"/>
  <c r="F92" i="59" s="1"/>
  <c r="F93" i="59" s="1"/>
  <c r="F94" i="59" s="1"/>
  <c r="F95" i="59" s="1"/>
  <c r="F96" i="59" s="1"/>
  <c r="F97" i="59" s="1"/>
  <c r="F98" i="59" s="1"/>
  <c r="F99" i="59" s="1"/>
  <c r="F100" i="59" s="1"/>
  <c r="F101" i="59" s="1"/>
  <c r="F102" i="59" s="1"/>
  <c r="F103" i="59" s="1"/>
  <c r="F104" i="59" s="1"/>
  <c r="F105" i="59" s="1"/>
  <c r="F106" i="59" s="1"/>
  <c r="F107" i="59" s="1"/>
  <c r="F108" i="59" s="1"/>
  <c r="F109" i="59" s="1"/>
  <c r="F110" i="59" s="1"/>
  <c r="F111" i="59" s="1"/>
  <c r="F112" i="59" s="1"/>
  <c r="F113" i="59" s="1"/>
  <c r="F114" i="59" s="1"/>
  <c r="F115" i="59" s="1"/>
  <c r="F116" i="59" s="1"/>
  <c r="F117" i="59" s="1"/>
  <c r="F118" i="59" s="1"/>
  <c r="F119" i="59" s="1"/>
  <c r="F120" i="59" s="1"/>
  <c r="F121" i="59" s="1"/>
  <c r="F122" i="59" s="1"/>
  <c r="F123" i="59" s="1"/>
  <c r="F124" i="59" s="1"/>
  <c r="F125" i="59" s="1"/>
  <c r="F126" i="59" s="1"/>
  <c r="F127" i="59" s="1"/>
  <c r="F128" i="59" s="1"/>
  <c r="F129" i="59" s="1"/>
  <c r="F130" i="59" s="1"/>
  <c r="F131" i="59" s="1"/>
  <c r="F132" i="59" s="1"/>
  <c r="F133" i="59" s="1"/>
  <c r="F134" i="59" s="1"/>
  <c r="F135" i="59" s="1"/>
  <c r="F136" i="59" s="1"/>
  <c r="F137" i="59" s="1"/>
  <c r="F138" i="59" s="1"/>
  <c r="F139" i="59" s="1"/>
  <c r="F140" i="59" s="1"/>
  <c r="F141" i="59" s="1"/>
  <c r="F142" i="59" s="1"/>
  <c r="F143" i="59" s="1"/>
  <c r="F144" i="59" s="1"/>
  <c r="F145" i="59" s="1"/>
  <c r="F146" i="59" s="1"/>
  <c r="F147" i="59" s="1"/>
  <c r="F148" i="59" s="1"/>
  <c r="F149" i="59" s="1"/>
  <c r="F150" i="59" s="1"/>
  <c r="F151" i="59" s="1"/>
  <c r="F152" i="59" s="1"/>
  <c r="F153" i="59" s="1"/>
  <c r="F154" i="59" s="1"/>
  <c r="F155" i="59" s="1"/>
  <c r="F156" i="59" s="1"/>
  <c r="F157" i="59" s="1"/>
  <c r="F158" i="59" s="1"/>
  <c r="F159" i="59" s="1"/>
  <c r="F160" i="59" s="1"/>
  <c r="F161" i="59" s="1"/>
  <c r="F162" i="59" s="1"/>
  <c r="F163" i="59" s="1"/>
  <c r="F164" i="59" s="1"/>
  <c r="F165" i="59" s="1"/>
  <c r="F166" i="59" s="1"/>
  <c r="F167" i="59" s="1"/>
  <c r="F168" i="59" s="1"/>
  <c r="F169" i="59" s="1"/>
  <c r="F170" i="59" s="1"/>
  <c r="F171" i="59" s="1"/>
  <c r="F172" i="59" s="1"/>
  <c r="F173" i="59" s="1"/>
  <c r="F174" i="59" s="1"/>
  <c r="F175" i="59" s="1"/>
  <c r="F176" i="59" s="1"/>
  <c r="F177" i="59" s="1"/>
  <c r="F178" i="59" s="1"/>
  <c r="F179" i="59" s="1"/>
  <c r="F180" i="59" s="1"/>
  <c r="F181" i="59" s="1"/>
  <c r="F182" i="59" s="1"/>
  <c r="F183" i="59" s="1"/>
  <c r="F184" i="59" s="1"/>
  <c r="F185" i="59" s="1"/>
  <c r="F186" i="59" s="1"/>
  <c r="F187" i="59" s="1"/>
  <c r="F188" i="59" s="1"/>
  <c r="F189" i="59" s="1"/>
  <c r="F190" i="59" s="1"/>
  <c r="F191" i="59" s="1"/>
  <c r="F192" i="59" s="1"/>
  <c r="F193" i="59" s="1"/>
  <c r="F194" i="59" s="1"/>
  <c r="F195" i="59" s="1"/>
  <c r="F196" i="59" s="1"/>
  <c r="F197" i="59" s="1"/>
  <c r="F198" i="59" s="1"/>
  <c r="F199" i="59" s="1"/>
  <c r="F200" i="59" s="1"/>
  <c r="F201" i="59" s="1"/>
  <c r="F202" i="59" s="1"/>
  <c r="F203" i="59" s="1"/>
  <c r="F204" i="59" s="1"/>
  <c r="F205" i="59" s="1"/>
  <c r="F206" i="59" s="1"/>
  <c r="F207" i="59" s="1"/>
  <c r="F208" i="59" s="1"/>
  <c r="F209" i="59" s="1"/>
  <c r="F210" i="59" s="1"/>
  <c r="F211" i="59" s="1"/>
  <c r="F212" i="59" s="1"/>
  <c r="F213" i="59" s="1"/>
  <c r="F214" i="59" s="1"/>
  <c r="F215" i="59" s="1"/>
  <c r="F216" i="59" s="1"/>
  <c r="F217" i="59" s="1"/>
  <c r="F218" i="59" s="1"/>
  <c r="F219" i="59" s="1"/>
  <c r="F220" i="59" s="1"/>
  <c r="F221" i="59" s="1"/>
  <c r="F222" i="59" s="1"/>
  <c r="F223" i="59" s="1"/>
  <c r="F224" i="59" s="1"/>
  <c r="F225" i="59" s="1"/>
  <c r="F226" i="59" s="1"/>
  <c r="F227" i="59" s="1"/>
  <c r="F228" i="59" s="1"/>
  <c r="F229" i="59" s="1"/>
  <c r="F230" i="59" s="1"/>
  <c r="F231" i="59" s="1"/>
  <c r="F232" i="59" s="1"/>
  <c r="F233" i="59" s="1"/>
  <c r="F234" i="59" s="1"/>
  <c r="F235" i="59" s="1"/>
  <c r="F236" i="59" s="1"/>
  <c r="F237" i="59" s="1"/>
  <c r="F238" i="59" s="1"/>
  <c r="F239" i="59" s="1"/>
  <c r="F240" i="59" s="1"/>
  <c r="F241" i="59" s="1"/>
  <c r="F242" i="59" s="1"/>
  <c r="F243" i="59" s="1"/>
  <c r="F244" i="59" s="1"/>
  <c r="F245" i="59" s="1"/>
  <c r="F246" i="59" s="1"/>
  <c r="F247" i="59" s="1"/>
  <c r="F248" i="59" s="1"/>
  <c r="F249" i="59" s="1"/>
  <c r="F250" i="59" s="1"/>
  <c r="F251" i="59" s="1"/>
  <c r="F252" i="59" s="1"/>
  <c r="F253" i="59" s="1"/>
  <c r="F254" i="59" s="1"/>
  <c r="F255" i="59" s="1"/>
  <c r="F256" i="59" s="1"/>
  <c r="F257" i="59" s="1"/>
  <c r="F258" i="59" s="1"/>
  <c r="F259" i="59" s="1"/>
  <c r="F260" i="59" s="1"/>
  <c r="F261" i="59" s="1"/>
  <c r="F262" i="59" s="1"/>
  <c r="F263" i="59" s="1"/>
  <c r="F264" i="59" s="1"/>
  <c r="F265" i="59" s="1"/>
  <c r="F266" i="59" s="1"/>
  <c r="F267" i="59" s="1"/>
  <c r="F268" i="59" s="1"/>
  <c r="F269" i="59" s="1"/>
  <c r="F270" i="59" s="1"/>
  <c r="F271" i="59" s="1"/>
  <c r="F272" i="59" s="1"/>
  <c r="F273" i="59" s="1"/>
  <c r="F274" i="59" s="1"/>
  <c r="F275" i="59" s="1"/>
  <c r="F276" i="59" s="1"/>
  <c r="F277" i="59" s="1"/>
  <c r="F278" i="59" s="1"/>
  <c r="F279" i="59" s="1"/>
  <c r="F280" i="59" s="1"/>
  <c r="F281" i="59" s="1"/>
  <c r="F282" i="59" s="1"/>
  <c r="F283" i="59" s="1"/>
  <c r="F284" i="59" s="1"/>
  <c r="F285" i="59" s="1"/>
  <c r="F286" i="59" s="1"/>
  <c r="F287" i="59" s="1"/>
  <c r="F288" i="59" s="1"/>
  <c r="F289" i="59" s="1"/>
  <c r="F290" i="59" s="1"/>
  <c r="F291" i="59" s="1"/>
  <c r="F292" i="59" s="1"/>
  <c r="F293" i="59" s="1"/>
  <c r="F294" i="59" s="1"/>
  <c r="F295" i="59" s="1"/>
  <c r="F296" i="59" s="1"/>
  <c r="F297" i="59" s="1"/>
  <c r="F298" i="59" s="1"/>
  <c r="F299" i="59" s="1"/>
  <c r="F300" i="59" s="1"/>
  <c r="F301" i="59" s="1"/>
  <c r="F302" i="59" s="1"/>
  <c r="F303" i="59" s="1"/>
  <c r="F304" i="59" s="1"/>
  <c r="F305" i="59" s="1"/>
  <c r="F306" i="59" s="1"/>
  <c r="F307" i="59" s="1"/>
  <c r="F308" i="59" s="1"/>
  <c r="F309" i="59" s="1"/>
  <c r="F310" i="59" s="1"/>
  <c r="F311" i="59" s="1"/>
  <c r="F312" i="59" s="1"/>
  <c r="F313" i="59" s="1"/>
  <c r="F314" i="59" s="1"/>
  <c r="F315" i="59" s="1"/>
  <c r="F316" i="59" s="1"/>
  <c r="F317" i="59" s="1"/>
  <c r="F318" i="59" s="1"/>
  <c r="F319" i="59" s="1"/>
  <c r="F320" i="59" s="1"/>
  <c r="F321" i="59" s="1"/>
  <c r="F322" i="59" s="1"/>
  <c r="F323" i="59" s="1"/>
  <c r="F324" i="59" s="1"/>
  <c r="F325" i="59" s="1"/>
  <c r="F326" i="59" s="1"/>
  <c r="F327" i="59" s="1"/>
  <c r="F328" i="59" s="1"/>
  <c r="F329" i="59" s="1"/>
  <c r="F330" i="59" s="1"/>
  <c r="F331" i="59" s="1"/>
  <c r="F332" i="59" s="1"/>
  <c r="F333" i="59" s="1"/>
  <c r="F334" i="59" s="1"/>
  <c r="F335" i="59" s="1"/>
  <c r="F336" i="59" s="1"/>
  <c r="F337" i="59" s="1"/>
  <c r="F338" i="59" s="1"/>
  <c r="F339" i="59" s="1"/>
  <c r="F340" i="59" s="1"/>
  <c r="F341" i="59" s="1"/>
  <c r="F342" i="59" s="1"/>
  <c r="F343" i="59" s="1"/>
  <c r="F344" i="59" s="1"/>
  <c r="F345" i="59" s="1"/>
  <c r="F346" i="59" s="1"/>
  <c r="F347" i="59" s="1"/>
  <c r="F348" i="59" s="1"/>
  <c r="F349" i="59" s="1"/>
  <c r="F350" i="59" s="1"/>
  <c r="F351" i="59" s="1"/>
  <c r="F352" i="59" s="1"/>
  <c r="F353" i="59" s="1"/>
  <c r="F354" i="59" s="1"/>
  <c r="F355" i="59" s="1"/>
  <c r="F356" i="59" s="1"/>
  <c r="F357" i="59" s="1"/>
  <c r="F358" i="59" s="1"/>
  <c r="F359" i="59" s="1"/>
  <c r="F360" i="59" s="1"/>
  <c r="F361" i="59" s="1"/>
  <c r="F362" i="59" s="1"/>
  <c r="F363" i="59" s="1"/>
  <c r="F364" i="59" s="1"/>
  <c r="F365" i="59" s="1"/>
  <c r="F366" i="59" s="1"/>
  <c r="F367" i="59" s="1"/>
  <c r="F368" i="59" s="1"/>
  <c r="F369" i="59" s="1"/>
  <c r="F370" i="59" s="1"/>
  <c r="F371" i="59" s="1"/>
  <c r="J28" i="60"/>
  <c r="E28" i="60" s="1"/>
  <c r="J30" i="60"/>
  <c r="R41" i="60"/>
  <c r="J43" i="60"/>
  <c r="J29" i="60"/>
  <c r="J36" i="60"/>
  <c r="D47" i="60"/>
  <c r="J47" i="60"/>
  <c r="E47" i="60" s="1"/>
  <c r="F47" i="60" s="1"/>
  <c r="G47" i="60" s="1"/>
  <c r="J39" i="60"/>
  <c r="J27" i="60"/>
  <c r="R26" i="60"/>
  <c r="E26" i="60" s="1"/>
  <c r="R30" i="60"/>
  <c r="R38" i="60"/>
  <c r="R27" i="60"/>
  <c r="R35" i="60"/>
  <c r="R42" i="60"/>
  <c r="D41" i="60"/>
  <c r="S38" i="60"/>
  <c r="D38" i="60" s="1"/>
  <c r="R46" i="60"/>
  <c r="E46" i="60" s="1"/>
  <c r="S35" i="60"/>
  <c r="D35" i="60" s="1"/>
  <c r="J31" i="60"/>
  <c r="D46" i="60"/>
  <c r="S26" i="60"/>
  <c r="D26" i="60" s="1"/>
  <c r="D42" i="60"/>
  <c r="S30" i="60"/>
  <c r="D30" i="60" s="1"/>
  <c r="J37" i="60"/>
  <c r="J40" i="60"/>
  <c r="R45" i="60"/>
  <c r="S45" i="60"/>
  <c r="D45" i="60" s="1"/>
  <c r="R28" i="60"/>
  <c r="S28" i="60"/>
  <c r="D28" i="60" s="1"/>
  <c r="R33" i="60"/>
  <c r="S33" i="60"/>
  <c r="D33" i="60" s="1"/>
  <c r="R40" i="60"/>
  <c r="S40" i="60"/>
  <c r="D40" i="60" s="1"/>
  <c r="R29" i="60"/>
  <c r="S29" i="60"/>
  <c r="D29" i="60" s="1"/>
  <c r="R32" i="60"/>
  <c r="S32" i="60"/>
  <c r="D32" i="60" s="1"/>
  <c r="J42" i="60"/>
  <c r="R31" i="60"/>
  <c r="S31" i="60"/>
  <c r="D31" i="60" s="1"/>
  <c r="J34" i="60"/>
  <c r="R34" i="60"/>
  <c r="S34" i="60"/>
  <c r="D34" i="60" s="1"/>
  <c r="J45" i="60"/>
  <c r="R36" i="60"/>
  <c r="S36" i="60"/>
  <c r="D36" i="60" s="1"/>
  <c r="J38" i="60"/>
  <c r="J41" i="60"/>
  <c r="J32" i="60"/>
  <c r="J33" i="60"/>
  <c r="R43" i="60"/>
  <c r="S43" i="60"/>
  <c r="D43" i="60" s="1"/>
  <c r="S39" i="60"/>
  <c r="D39" i="60" s="1"/>
  <c r="R39" i="60"/>
  <c r="R44" i="60"/>
  <c r="S44" i="60"/>
  <c r="D44" i="60" s="1"/>
  <c r="J44" i="60"/>
  <c r="J35" i="60"/>
  <c r="S37" i="60"/>
  <c r="D37" i="60" s="1"/>
  <c r="R37" i="60"/>
  <c r="E41" i="60" l="1"/>
  <c r="F41" i="60" s="1"/>
  <c r="G41" i="60" s="1"/>
  <c r="F26" i="60"/>
  <c r="F28" i="60"/>
  <c r="K25" i="60"/>
  <c r="D25" i="60" s="1"/>
  <c r="J25" i="60"/>
  <c r="E25" i="60" s="1"/>
  <c r="E27" i="60"/>
  <c r="F27" i="60" s="1"/>
  <c r="G27" i="60" s="1"/>
  <c r="J24" i="60"/>
  <c r="E39" i="60"/>
  <c r="F39" i="60" s="1"/>
  <c r="G39" i="60" s="1"/>
  <c r="E36" i="60"/>
  <c r="F36" i="60" s="1"/>
  <c r="G36" i="60" s="1"/>
  <c r="E43" i="60"/>
  <c r="F43" i="60" s="1"/>
  <c r="G43" i="60" s="1"/>
  <c r="E31" i="60"/>
  <c r="F31" i="60" s="1"/>
  <c r="G31" i="60" s="1"/>
  <c r="E29" i="60"/>
  <c r="F29" i="60" s="1"/>
  <c r="G29" i="60" s="1"/>
  <c r="F25" i="60"/>
  <c r="G25" i="60" s="1"/>
  <c r="E30" i="60"/>
  <c r="F30" i="60" s="1"/>
  <c r="G30" i="60" s="1"/>
  <c r="G26" i="60"/>
  <c r="E35" i="60"/>
  <c r="F35" i="60" s="1"/>
  <c r="G35" i="60" s="1"/>
  <c r="E45" i="60"/>
  <c r="F45" i="60" s="1"/>
  <c r="G45" i="60" s="1"/>
  <c r="E38" i="60"/>
  <c r="F38" i="60" s="1"/>
  <c r="G38" i="60" s="1"/>
  <c r="F46" i="60"/>
  <c r="G46" i="60" s="1"/>
  <c r="E42" i="60"/>
  <c r="F42" i="60" s="1"/>
  <c r="G42" i="60" s="1"/>
  <c r="E40" i="60"/>
  <c r="F40" i="60" s="1"/>
  <c r="G40" i="60" s="1"/>
  <c r="E37" i="60"/>
  <c r="F37" i="60" s="1"/>
  <c r="G37" i="60" s="1"/>
  <c r="E33" i="60"/>
  <c r="F33" i="60" s="1"/>
  <c r="G33" i="60" s="1"/>
  <c r="E44" i="60"/>
  <c r="F44" i="60" s="1"/>
  <c r="G44" i="60" s="1"/>
  <c r="E32" i="60"/>
  <c r="F32" i="60" s="1"/>
  <c r="G32" i="60" s="1"/>
  <c r="E34" i="60"/>
  <c r="F34" i="60" s="1"/>
  <c r="G34" i="60" s="1"/>
  <c r="G28" i="60"/>
  <c r="E24" i="60" l="1"/>
  <c r="F24" i="60" s="1"/>
  <c r="G24" i="60" s="1"/>
</calcChain>
</file>

<file path=xl/sharedStrings.xml><?xml version="1.0" encoding="utf-8"?>
<sst xmlns="http://schemas.openxmlformats.org/spreadsheetml/2006/main" count="93" uniqueCount="60">
  <si>
    <t>Investment Assumptions</t>
  </si>
  <si>
    <t>Initial Investment Amount</t>
  </si>
  <si>
    <t>Scenario</t>
  </si>
  <si>
    <t>Site Name</t>
  </si>
  <si>
    <t>Down Payment</t>
  </si>
  <si>
    <t>Down Pyament $</t>
  </si>
  <si>
    <t>Assumptions:</t>
  </si>
  <si>
    <t>Years</t>
  </si>
  <si>
    <t>Payments per year</t>
  </si>
  <si>
    <t>Mortgage Amount</t>
  </si>
  <si>
    <t>Debt to Equity Ratio</t>
  </si>
  <si>
    <t>to</t>
  </si>
  <si>
    <t>Payment Number</t>
  </si>
  <si>
    <t>Month</t>
  </si>
  <si>
    <t xml:space="preserve">Payment </t>
  </si>
  <si>
    <t>Principal</t>
  </si>
  <si>
    <t>Interest</t>
  </si>
  <si>
    <t>Balance</t>
  </si>
  <si>
    <t>Purchase Price</t>
  </si>
  <si>
    <t>Annual Interst rate (Cost of Mortgage)</t>
  </si>
  <si>
    <t>Time Period (Month)</t>
  </si>
  <si>
    <t>Re-Sale Price</t>
  </si>
  <si>
    <t>Mortgage Out of Pocket Payments (Interest + Principal) (cumulative)</t>
  </si>
  <si>
    <t>Mortgage Monthly Payment</t>
  </si>
  <si>
    <t>Mortgage Loan Balance</t>
  </si>
  <si>
    <t>Construction loan interest rate</t>
  </si>
  <si>
    <t xml:space="preserve"> Mortgage Duration</t>
  </si>
  <si>
    <t>Construction loan duration</t>
  </si>
  <si>
    <t>Capital Expenditure Down Pyament</t>
  </si>
  <si>
    <t>Projected Capital Expenditure Amount</t>
  </si>
  <si>
    <t>Down Payment %</t>
  </si>
  <si>
    <t>Capital Expenditure Down Pyament %</t>
  </si>
  <si>
    <t>Construction loan Amount</t>
  </si>
  <si>
    <t>Total Construction loan Amount</t>
  </si>
  <si>
    <t>Construction loan Down Payment</t>
  </si>
  <si>
    <t>Construction Loan (Principal Paid - cumulative)</t>
  </si>
  <si>
    <t>Construction Loan (Interest Paid - cumulative)</t>
  </si>
  <si>
    <t>Construction Loan Out of Pocket Payments (Interest + Principal) (cumulative)</t>
  </si>
  <si>
    <t>Construction Loan Balance</t>
  </si>
  <si>
    <t>% Return</t>
  </si>
  <si>
    <t>Assumptions</t>
  </si>
  <si>
    <t>Monthly Real Estate Taxes</t>
  </si>
  <si>
    <t>Monthly PMI</t>
  </si>
  <si>
    <t>Monthly Insurace Costs</t>
  </si>
  <si>
    <t>PMI (Cumulative)</t>
  </si>
  <si>
    <t>Taxes (Cumulative)</t>
  </si>
  <si>
    <t>Insurance (Cumulative)</t>
  </si>
  <si>
    <t>Other Expenses (closing costs)</t>
  </si>
  <si>
    <t>Resale Price</t>
  </si>
  <si>
    <t>netSale</t>
  </si>
  <si>
    <t>totalCapitalInvested</t>
  </si>
  <si>
    <t>netProfit</t>
  </si>
  <si>
    <t>cumulativePrincipalPaid</t>
  </si>
  <si>
    <t>cumulativeInterestPaid</t>
  </si>
  <si>
    <t>X</t>
  </si>
  <si>
    <t>Directly in Backend</t>
  </si>
  <si>
    <t>In amortization Class</t>
  </si>
  <si>
    <t>Display IN Output</t>
  </si>
  <si>
    <t>Directly in BackEnd</t>
  </si>
  <si>
    <t>Make Avail in Front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</si>
</sst>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_);_(* \(#,##0\);_(* &quot;-&quot;??_);_(@_)"/>
    <numFmt numFmtId="166" formatCode="_(&quot;$&quot;* #,##0_);_(&quot;$&quot;* \(#,##0\);_(&quot;$&quot;* &quot;-&quot;??_);_(@_)"/>
    <numFmt numFmtId="167" formatCode="0.0%"/>
    <numFmt numFmtId="168" formatCode="0.000%"/>
    <numFmt numFmtId="169" formatCode="0.000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5">
    <xf numFmtId="0" fontId="0" fillId="0" borderId="0" xfId="0"/>
    <xf numFmtId="9" fontId="0" fillId="0" borderId="0" xfId="0" applyNumberFormat="1"/>
    <xf numFmtId="0" fontId="0" fillId="3" borderId="1" xfId="0" applyFill="1" applyBorder="1" applyAlignment="1">
      <alignment horizontal="center" vertical="center"/>
    </xf>
    <xf numFmtId="164" fontId="0" fillId="0" borderId="0" xfId="0" applyNumberFormat="1"/>
    <xf numFmtId="3" fontId="0" fillId="0" borderId="0" xfId="0" applyNumberFormat="1"/>
    <xf numFmtId="8" fontId="0" fillId="0" borderId="0" xfId="0" applyNumberFormat="1"/>
    <xf numFmtId="0" fontId="0" fillId="0" borderId="0" xfId="0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10" fontId="0" fillId="0" borderId="0" xfId="1" applyNumberFormat="1" applyFo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3" borderId="1" xfId="0" applyFill="1" applyBorder="1"/>
    <xf numFmtId="9" fontId="0" fillId="0" borderId="0" xfId="1" applyFont="1"/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/>
    </xf>
    <xf numFmtId="166" fontId="0" fillId="3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wrapText="1"/>
    </xf>
    <xf numFmtId="9" fontId="0" fillId="3" borderId="1" xfId="1" applyFont="1" applyFill="1" applyBorder="1"/>
    <xf numFmtId="43" fontId="0" fillId="0" borderId="0" xfId="0" applyNumberFormat="1"/>
    <xf numFmtId="165" fontId="0" fillId="0" borderId="1" xfId="2" applyNumberFormat="1" applyFont="1" applyBorder="1"/>
    <xf numFmtId="0" fontId="0" fillId="0" borderId="0" xfId="0" applyAlignment="1">
      <alignment vertical="center"/>
    </xf>
    <xf numFmtId="165" fontId="0" fillId="0" borderId="1" xfId="2" applyNumberFormat="1" applyFon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3" xfId="0" applyBorder="1" applyAlignment="1">
      <alignment vertical="center"/>
    </xf>
    <xf numFmtId="1" fontId="0" fillId="3" borderId="1" xfId="0" applyNumberFormat="1" applyFill="1" applyBorder="1"/>
    <xf numFmtId="166" fontId="0" fillId="3" borderId="1" xfId="3" applyNumberFormat="1" applyFont="1" applyFill="1" applyBorder="1"/>
    <xf numFmtId="166" fontId="0" fillId="0" borderId="1" xfId="3" applyNumberFormat="1" applyFont="1" applyBorder="1"/>
    <xf numFmtId="0" fontId="0" fillId="0" borderId="0" xfId="0" applyAlignment="1">
      <alignment horizontal="right" vertical="center"/>
    </xf>
    <xf numFmtId="166" fontId="0" fillId="0" borderId="0" xfId="0" applyNumberFormat="1" applyAlignment="1">
      <alignment horizontal="center" vertical="center" wrapText="1"/>
    </xf>
    <xf numFmtId="166" fontId="0" fillId="0" borderId="0" xfId="0" applyNumberFormat="1"/>
    <xf numFmtId="1" fontId="0" fillId="0" borderId="1" xfId="1" applyNumberFormat="1" applyFont="1" applyBorder="1"/>
    <xf numFmtId="0" fontId="0" fillId="0" borderId="1" xfId="0" applyBorder="1"/>
    <xf numFmtId="8" fontId="0" fillId="0" borderId="0" xfId="3" applyNumberFormat="1" applyFont="1"/>
    <xf numFmtId="164" fontId="0" fillId="0" borderId="0" xfId="0" applyNumberFormat="1" applyAlignment="1">
      <alignment horizontal="center" wrapText="1"/>
    </xf>
    <xf numFmtId="167" fontId="0" fillId="3" borderId="1" xfId="1" applyNumberFormat="1" applyFont="1" applyFill="1" applyBorder="1"/>
    <xf numFmtId="0" fontId="0" fillId="0" borderId="0" xfId="0" applyAlignment="1">
      <alignment wrapText="1"/>
    </xf>
    <xf numFmtId="44" fontId="0" fillId="0" borderId="0" xfId="0" applyNumberFormat="1"/>
    <xf numFmtId="166" fontId="0" fillId="0" borderId="1" xfId="0" applyNumberFormat="1" applyBorder="1"/>
    <xf numFmtId="167" fontId="0" fillId="0" borderId="0" xfId="1" applyNumberFormat="1" applyFont="1"/>
    <xf numFmtId="164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8" xfId="0" applyFill="1" applyBorder="1"/>
    <xf numFmtId="40" fontId="0" fillId="0" borderId="0" xfId="3" applyNumberFormat="1" applyFont="1"/>
    <xf numFmtId="0" fontId="0" fillId="2" borderId="0" xfId="0" applyFill="1"/>
    <xf numFmtId="168" fontId="0" fillId="3" borderId="1" xfId="1" applyNumberFormat="1" applyFont="1" applyFill="1" applyBorder="1"/>
    <xf numFmtId="168" fontId="0" fillId="0" borderId="1" xfId="1" applyNumberFormat="1" applyFont="1" applyBorder="1"/>
    <xf numFmtId="169" fontId="0" fillId="0" borderId="1" xfId="1" applyNumberFormat="1" applyFont="1" applyBorder="1"/>
    <xf numFmtId="0" fontId="0" fillId="2" borderId="0" xfId="0" applyFill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4">
    <cellStyle name="Comma" xfId="2" builtinId="3"/>
    <cellStyle name="Currency" xfId="3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2:Z779"/>
  <sheetViews>
    <sheetView tabSelected="1" zoomScale="60" zoomScaleNormal="60" workbookViewId="0">
      <selection activeCell="C17" sqref="C17"/>
    </sheetView>
  </sheetViews>
  <sheetFormatPr defaultRowHeight="15" x14ac:dyDescent="0.25"/>
  <cols>
    <col min="2" max="2" width="50.42578125" customWidth="1"/>
    <col min="3" max="3" width="19.5703125" customWidth="1"/>
    <col min="4" max="4" width="28" bestFit="1" customWidth="1"/>
    <col min="5" max="5" width="24.42578125" customWidth="1"/>
    <col min="6" max="6" width="17.7109375" customWidth="1"/>
    <col min="7" max="7" width="17.7109375" hidden="1" customWidth="1"/>
    <col min="8" max="8" width="27.5703125" customWidth="1"/>
    <col min="9" max="9" width="27.28515625" customWidth="1"/>
    <col min="10" max="11" width="14.28515625" customWidth="1"/>
    <col min="12" max="13" width="15" hidden="1" customWidth="1"/>
    <col min="14" max="15" width="15" customWidth="1"/>
    <col min="16" max="16" width="17.28515625" customWidth="1"/>
    <col min="17" max="17" width="25.140625" customWidth="1"/>
    <col min="18" max="18" width="20.140625" customWidth="1"/>
    <col min="19" max="19" width="22" customWidth="1"/>
    <col min="20" max="20" width="13.42578125" bestFit="1" customWidth="1"/>
    <col min="21" max="21" width="10.85546875" bestFit="1" customWidth="1"/>
    <col min="22" max="22" width="11.5703125" bestFit="1" customWidth="1"/>
    <col min="23" max="23" width="12.7109375" bestFit="1" customWidth="1"/>
    <col min="24" max="24" width="8.7109375" bestFit="1" customWidth="1"/>
  </cols>
  <sheetData>
    <row r="2" spans="2:18" x14ac:dyDescent="0.25">
      <c r="B2" s="52" t="s">
        <v>40</v>
      </c>
      <c r="C2" s="52"/>
      <c r="D2" s="18"/>
      <c r="E2" s="48"/>
    </row>
    <row r="3" spans="2:18" ht="15.75" thickBot="1" x14ac:dyDescent="0.3"/>
    <row r="4" spans="2:18" ht="30.75" thickBot="1" x14ac:dyDescent="0.3">
      <c r="B4" t="s">
        <v>3</v>
      </c>
      <c r="C4" s="2"/>
      <c r="D4" s="20" t="s">
        <v>19</v>
      </c>
      <c r="E4" s="49">
        <v>5.1810000000000002E-2</v>
      </c>
      <c r="F4" s="43"/>
    </row>
    <row r="5" spans="2:18" ht="15.75" thickBot="1" x14ac:dyDescent="0.3">
      <c r="B5" t="s">
        <v>18</v>
      </c>
      <c r="C5" s="19">
        <v>480000</v>
      </c>
      <c r="D5" t="s">
        <v>26</v>
      </c>
      <c r="E5" s="15">
        <v>30</v>
      </c>
      <c r="O5">
        <f>0.95*480000</f>
        <v>456000</v>
      </c>
    </row>
    <row r="6" spans="2:18" ht="15.75" thickBot="1" x14ac:dyDescent="0.3">
      <c r="B6" s="21" t="s">
        <v>48</v>
      </c>
      <c r="C6" s="30">
        <v>610000</v>
      </c>
      <c r="D6" t="s">
        <v>8</v>
      </c>
      <c r="E6" s="15">
        <v>12</v>
      </c>
      <c r="O6">
        <f>0.5*65000</f>
        <v>32500</v>
      </c>
    </row>
    <row r="7" spans="2:18" ht="30.75" thickBot="1" x14ac:dyDescent="0.3">
      <c r="B7" t="s">
        <v>30</v>
      </c>
      <c r="C7" s="39">
        <v>0.05</v>
      </c>
      <c r="D7" s="38" t="s">
        <v>25</v>
      </c>
      <c r="E7" s="49">
        <v>5.1810000000000002E-2</v>
      </c>
      <c r="F7" s="43"/>
      <c r="O7">
        <f>O6+O5</f>
        <v>488500</v>
      </c>
    </row>
    <row r="8" spans="2:18" ht="15.75" thickBot="1" x14ac:dyDescent="0.3">
      <c r="B8" t="s">
        <v>5</v>
      </c>
      <c r="C8" s="31">
        <f>C7*C5</f>
        <v>24000</v>
      </c>
      <c r="D8" s="10" t="s">
        <v>27</v>
      </c>
      <c r="E8" s="15">
        <v>30</v>
      </c>
    </row>
    <row r="9" spans="2:18" ht="15.75" thickBot="1" x14ac:dyDescent="0.3">
      <c r="B9" t="s">
        <v>9</v>
      </c>
      <c r="C9" s="31">
        <f>C5-C8</f>
        <v>456000</v>
      </c>
      <c r="D9" s="10" t="s">
        <v>8</v>
      </c>
      <c r="E9" s="15">
        <v>12</v>
      </c>
    </row>
    <row r="10" spans="2:18" ht="15.75" thickBot="1" x14ac:dyDescent="0.3">
      <c r="B10" t="s">
        <v>29</v>
      </c>
      <c r="C10" s="30">
        <v>65000</v>
      </c>
      <c r="D10" s="10" t="s">
        <v>32</v>
      </c>
      <c r="E10" s="42">
        <f>C10-C12</f>
        <v>32500</v>
      </c>
      <c r="F10" s="34"/>
      <c r="I10" s="5"/>
    </row>
    <row r="11" spans="2:18" ht="15.75" thickBot="1" x14ac:dyDescent="0.3">
      <c r="B11" t="s">
        <v>31</v>
      </c>
      <c r="C11" s="22">
        <v>0.5</v>
      </c>
      <c r="D11" s="10" t="s">
        <v>41</v>
      </c>
      <c r="E11" s="46">
        <v>200</v>
      </c>
    </row>
    <row r="12" spans="2:18" ht="15.75" thickBot="1" x14ac:dyDescent="0.3">
      <c r="B12" t="s">
        <v>28</v>
      </c>
      <c r="C12" s="31">
        <f>C11*C10</f>
        <v>32500</v>
      </c>
      <c r="D12" s="10" t="s">
        <v>42</v>
      </c>
      <c r="E12" s="15">
        <v>140</v>
      </c>
      <c r="I12" s="5"/>
      <c r="R12" s="4"/>
    </row>
    <row r="13" spans="2:18" ht="15.75" thickBot="1" x14ac:dyDescent="0.3">
      <c r="B13" t="s">
        <v>47</v>
      </c>
      <c r="C13" s="30">
        <v>12000</v>
      </c>
      <c r="D13" s="10" t="s">
        <v>43</v>
      </c>
      <c r="E13" s="15">
        <v>150</v>
      </c>
      <c r="I13" s="5"/>
      <c r="R13" s="4"/>
    </row>
    <row r="14" spans="2:18" x14ac:dyDescent="0.25">
      <c r="B14" s="52" t="s">
        <v>0</v>
      </c>
      <c r="C14" s="52"/>
      <c r="D14" s="11"/>
    </row>
    <row r="15" spans="2:18" ht="15.75" thickBot="1" x14ac:dyDescent="0.3">
      <c r="R15" s="5"/>
    </row>
    <row r="16" spans="2:18" ht="15.75" thickBot="1" x14ac:dyDescent="0.3">
      <c r="B16" s="17" t="s">
        <v>1</v>
      </c>
      <c r="C16" s="44">
        <f>C8+C12+C13</f>
        <v>68500</v>
      </c>
      <c r="D16" s="12"/>
      <c r="R16" s="1"/>
    </row>
    <row r="17" spans="2:26" x14ac:dyDescent="0.25">
      <c r="B17" s="6"/>
      <c r="C17" s="45"/>
      <c r="D17" s="6"/>
    </row>
    <row r="18" spans="2:26" ht="15.75" thickBot="1" x14ac:dyDescent="0.3"/>
    <row r="19" spans="2:26" x14ac:dyDescent="0.25"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2:26" x14ac:dyDescent="0.25">
      <c r="C20" t="s">
        <v>2</v>
      </c>
    </row>
    <row r="22" spans="2:26" ht="92.25" customHeight="1" x14ac:dyDescent="0.25">
      <c r="B22" s="6" t="s">
        <v>20</v>
      </c>
      <c r="C22" s="17" t="s">
        <v>21</v>
      </c>
      <c r="D22" s="17" t="s">
        <v>49</v>
      </c>
      <c r="E22" s="17" t="s">
        <v>50</v>
      </c>
      <c r="F22" s="17" t="s">
        <v>51</v>
      </c>
      <c r="G22" s="17" t="s">
        <v>39</v>
      </c>
      <c r="H22" s="17" t="s">
        <v>52</v>
      </c>
      <c r="I22" s="17" t="s">
        <v>53</v>
      </c>
      <c r="J22" s="17" t="s">
        <v>22</v>
      </c>
      <c r="K22" s="17" t="s">
        <v>24</v>
      </c>
      <c r="L22" s="17" t="s">
        <v>23</v>
      </c>
      <c r="M22" s="17" t="s">
        <v>44</v>
      </c>
      <c r="N22" s="17" t="s">
        <v>45</v>
      </c>
      <c r="O22" s="17" t="s">
        <v>46</v>
      </c>
      <c r="P22" s="17" t="s">
        <v>35</v>
      </c>
      <c r="Q22" s="17" t="s">
        <v>36</v>
      </c>
      <c r="R22" s="17" t="s">
        <v>37</v>
      </c>
      <c r="S22" s="17" t="s">
        <v>38</v>
      </c>
    </row>
    <row r="23" spans="2:26" x14ac:dyDescent="0.25">
      <c r="B23" s="32">
        <v>0</v>
      </c>
      <c r="C23" s="17"/>
      <c r="D23" s="33">
        <f>-C16</f>
        <v>-68500</v>
      </c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</row>
    <row r="24" spans="2:26" x14ac:dyDescent="0.25">
      <c r="B24">
        <v>1</v>
      </c>
      <c r="C24" s="3">
        <f>$C$6</f>
        <v>610000</v>
      </c>
      <c r="D24" s="3">
        <f>C24-K24-S24</f>
        <v>122067.57714932835</v>
      </c>
      <c r="E24" s="5">
        <f>$C$16+ABS(J24)+ABS(R24)+ABS(M24)+ABS(N24)+ABS(O24)</f>
        <v>71666.675899328344</v>
      </c>
      <c r="F24" s="5">
        <f>D24-E24</f>
        <v>50400.90125000001</v>
      </c>
      <c r="G24" s="10">
        <f>F24/E24</f>
        <v>0.70326829893434983</v>
      </c>
      <c r="H24" s="37">
        <f>'Amortization Table Mortgage'!D12</f>
        <v>-529.81613120516931</v>
      </c>
      <c r="I24" s="37">
        <f>'Amortization Table Mortgage'!E12</f>
        <v>-1968.7800000000004</v>
      </c>
      <c r="J24" s="37">
        <f>I24+H24</f>
        <v>-2498.5961312051695</v>
      </c>
      <c r="K24" s="3">
        <f>$C$9+H24</f>
        <v>455470.18386879482</v>
      </c>
      <c r="L24" s="37">
        <f>-'Amortization Table Mortgage'!C12</f>
        <v>2498.5961312051695</v>
      </c>
      <c r="M24" s="37">
        <f>-$E$12*B24</f>
        <v>-140</v>
      </c>
      <c r="N24" s="47">
        <f>-$E$11*B24</f>
        <v>-200</v>
      </c>
      <c r="O24" s="47">
        <f>-$E$13*B24</f>
        <v>-150</v>
      </c>
      <c r="P24" s="5">
        <f>'Amortization Table Construction'!D12</f>
        <v>-37.76101812317544</v>
      </c>
      <c r="Q24" s="5">
        <f>'Amortization Table Construction'!E12</f>
        <v>-140.31875000000002</v>
      </c>
      <c r="R24" s="5">
        <f>P24+Q24</f>
        <v>-178.07976812317546</v>
      </c>
      <c r="S24" s="41">
        <f>$E$10+P24</f>
        <v>32462.238981876824</v>
      </c>
      <c r="T24" s="34"/>
    </row>
    <row r="25" spans="2:26" x14ac:dyDescent="0.25">
      <c r="B25">
        <v>2</v>
      </c>
      <c r="C25" s="3">
        <f t="shared" ref="C25:C47" si="0">$C$6</f>
        <v>610000</v>
      </c>
      <c r="D25" s="3">
        <f>C25-K25-S25</f>
        <v>122637.60481299892</v>
      </c>
      <c r="E25" s="5">
        <f>$C$16+ABS(J25)+ABS(R25)+ABS(M25)+ABS(N25)+ABS(O25)</f>
        <v>74833.351798656688</v>
      </c>
      <c r="F25" s="5">
        <f>D25-E25</f>
        <v>47804.253014342234</v>
      </c>
      <c r="G25" s="10">
        <f t="shared" ref="G25:G47" si="1">F25/E25</f>
        <v>0.63880945949023171</v>
      </c>
      <c r="H25" s="37">
        <f>SUM('Amortization Table Mortgage'!D12:D13)</f>
        <v>-1061.9197435568169</v>
      </c>
      <c r="I25" s="37">
        <f>SUM('Amortization Table Mortgage'!E12:E13)</f>
        <v>-3935.2725188535223</v>
      </c>
      <c r="J25" s="37">
        <f>I25+H25</f>
        <v>-4997.192262410339</v>
      </c>
      <c r="K25" s="3">
        <f>$C$9+H25</f>
        <v>454938.08025644318</v>
      </c>
      <c r="M25" s="37">
        <f>-$E$12*B25</f>
        <v>-280</v>
      </c>
      <c r="N25" s="47">
        <f t="shared" ref="N25:N47" si="2">-$E$11*B25</f>
        <v>-400</v>
      </c>
      <c r="O25" s="47">
        <f t="shared" ref="O25:O47" si="3">-$E$13*B25</f>
        <v>-300</v>
      </c>
      <c r="P25" s="5">
        <f>SUM('Amortization Table Construction'!D12:D13)</f>
        <v>-75.685069442097699</v>
      </c>
      <c r="Q25" s="5">
        <f>SUM('Amortization Table Construction'!E12:E13)</f>
        <v>-280.47446680425321</v>
      </c>
      <c r="R25" s="5">
        <f t="shared" ref="R25:R47" si="4">P25+Q25</f>
        <v>-356.15953624635091</v>
      </c>
      <c r="S25" s="41">
        <f>$E$10+P25</f>
        <v>32424.314930557903</v>
      </c>
      <c r="T25" s="34"/>
    </row>
    <row r="26" spans="2:26" x14ac:dyDescent="0.25">
      <c r="B26">
        <v>3</v>
      </c>
      <c r="C26" s="3">
        <f t="shared" si="0"/>
        <v>610000</v>
      </c>
      <c r="D26" s="3">
        <f t="shared" ref="D26:D29" si="5">C26-K26-S26</f>
        <v>123210.09357110738</v>
      </c>
      <c r="E26" s="5">
        <f>$C$16+ABS(J26)+ABS(R26)+ABS(M26)+ABS(N26)+ABS(O26)</f>
        <v>78000.027697985031</v>
      </c>
      <c r="F26" s="5">
        <f>D26-E26</f>
        <v>45210.065873122352</v>
      </c>
      <c r="G26" s="10">
        <f t="shared" si="1"/>
        <v>0.57961602331956941</v>
      </c>
      <c r="H26" s="37">
        <f>SUM('Amortization Table Mortgage'!D12:D14)</f>
        <v>-1596.3207132547927</v>
      </c>
      <c r="I26" s="37">
        <f>SUM('Amortization Table Mortgage'!E12:E14)</f>
        <v>-5899.4676803607163</v>
      </c>
      <c r="J26" s="37">
        <f>I26+H26</f>
        <v>-7495.7883936155085</v>
      </c>
      <c r="K26" s="3">
        <f t="shared" ref="K26:K41" si="6">$C$9+H26</f>
        <v>454403.6792867452</v>
      </c>
      <c r="M26" s="37">
        <f t="shared" ref="M26:M47" si="7">-$E$12*B26</f>
        <v>-420</v>
      </c>
      <c r="N26" s="47">
        <f t="shared" si="2"/>
        <v>-600</v>
      </c>
      <c r="O26" s="47">
        <f t="shared" si="3"/>
        <v>-450</v>
      </c>
      <c r="P26" s="5">
        <f>SUM('Amortization Table Construction'!D12:D14)</f>
        <v>-113.7728578525894</v>
      </c>
      <c r="Q26" s="5">
        <f>SUM('Amortization Table Construction'!E12:E14)</f>
        <v>-420.46644651693691</v>
      </c>
      <c r="R26" s="5">
        <f t="shared" si="4"/>
        <v>-534.23930436952628</v>
      </c>
      <c r="S26" s="41">
        <f>$E$10+P26</f>
        <v>32386.227142147411</v>
      </c>
      <c r="T26" s="34"/>
      <c r="U26" s="3"/>
      <c r="V26" s="5"/>
      <c r="W26" s="5"/>
    </row>
    <row r="27" spans="2:26" x14ac:dyDescent="0.25">
      <c r="B27">
        <v>4</v>
      </c>
      <c r="C27" s="3">
        <f t="shared" si="0"/>
        <v>610000</v>
      </c>
      <c r="D27" s="3">
        <f t="shared" si="5"/>
        <v>123785.05404942896</v>
      </c>
      <c r="E27" s="5">
        <f>$C$16+ABS(J27)+ABS(R27)+ABS(M27)+ABS(N27)+ABS(O27)</f>
        <v>81166.703597313375</v>
      </c>
      <c r="F27" s="5">
        <f t="shared" ref="F27:F29" si="8">D27-E27</f>
        <v>42618.350452115585</v>
      </c>
      <c r="G27" s="10">
        <f t="shared" si="1"/>
        <v>0.52507184058570366</v>
      </c>
      <c r="H27" s="37">
        <f>SUM('Amortization Table Mortgage'!D12:D15)</f>
        <v>-2133.0289591394394</v>
      </c>
      <c r="I27" s="37">
        <f>SUM('Amortization Table Mortgage'!E12:E15)</f>
        <v>-7861.3555656812387</v>
      </c>
      <c r="J27" s="37">
        <f t="shared" ref="J27:J47" si="9">I27+H27</f>
        <v>-9994.3845248206781</v>
      </c>
      <c r="K27" s="3">
        <f t="shared" si="6"/>
        <v>453866.97104086058</v>
      </c>
      <c r="M27" s="37">
        <f t="shared" si="7"/>
        <v>-560</v>
      </c>
      <c r="N27" s="47">
        <f t="shared" si="2"/>
        <v>-800</v>
      </c>
      <c r="O27" s="47">
        <f t="shared" si="3"/>
        <v>-600</v>
      </c>
      <c r="P27" s="5">
        <f>SUM('Amortization Table Construction'!D12:D15)</f>
        <v>-152.02509028954339</v>
      </c>
      <c r="Q27" s="5">
        <f>SUM('Amortization Table Construction'!E12:E15)</f>
        <v>-560.29398220315829</v>
      </c>
      <c r="R27" s="5">
        <f t="shared" si="4"/>
        <v>-712.31907249270171</v>
      </c>
      <c r="S27" s="41">
        <f>$E$10+P27</f>
        <v>32347.974909710458</v>
      </c>
      <c r="T27" s="34"/>
    </row>
    <row r="28" spans="2:26" x14ac:dyDescent="0.25">
      <c r="B28">
        <v>5</v>
      </c>
      <c r="C28" s="3">
        <f t="shared" si="0"/>
        <v>610000</v>
      </c>
      <c r="D28" s="3">
        <f t="shared" si="5"/>
        <v>124362.49691961572</v>
      </c>
      <c r="E28" s="5">
        <f t="shared" ref="E28:E31" si="10">$C$16+ABS(J28)+ABS(R28)+ABS(M28)+ABS(N28)+ABS(O28)</f>
        <v>84333.379496641719</v>
      </c>
      <c r="F28" s="5">
        <f t="shared" si="8"/>
        <v>40029.117422973999</v>
      </c>
      <c r="G28" s="10">
        <f t="shared" si="1"/>
        <v>0.47465330645937198</v>
      </c>
      <c r="H28" s="5">
        <f>SUM('Amortization Table Mortgage'!D12:D16)</f>
        <v>-2672.054442875693</v>
      </c>
      <c r="I28" s="5">
        <f>SUM('Amortization Table Mortgage'!E12:E16)</f>
        <v>-9820.9262131501546</v>
      </c>
      <c r="J28" s="37">
        <f>I28+H28</f>
        <v>-12492.980656025848</v>
      </c>
      <c r="K28" s="3">
        <f t="shared" si="6"/>
        <v>453327.94555712433</v>
      </c>
      <c r="M28" s="37">
        <f t="shared" si="7"/>
        <v>-700</v>
      </c>
      <c r="N28" s="47">
        <f>-$E$11*B28</f>
        <v>-1000</v>
      </c>
      <c r="O28" s="47">
        <f t="shared" si="3"/>
        <v>-750</v>
      </c>
      <c r="P28" s="5">
        <f>SUM('Amortization Table Construction'!D12:D16)</f>
        <v>-190.44247674004393</v>
      </c>
      <c r="Q28" s="5">
        <f>SUM('Amortization Table Construction'!E12:E16)</f>
        <v>-699.95636387583318</v>
      </c>
      <c r="R28" s="5">
        <f t="shared" si="4"/>
        <v>-890.39884061587713</v>
      </c>
      <c r="S28" s="41">
        <f t="shared" ref="S28:S47" si="11">$E$10+P28</f>
        <v>32309.557523259955</v>
      </c>
      <c r="T28" s="34"/>
    </row>
    <row r="29" spans="2:26" x14ac:dyDescent="0.25">
      <c r="B29">
        <v>6</v>
      </c>
      <c r="C29" s="3">
        <f>$C$6</f>
        <v>610000</v>
      </c>
      <c r="D29" s="3">
        <f t="shared" si="5"/>
        <v>124942.43289939451</v>
      </c>
      <c r="E29" s="5">
        <f t="shared" si="10"/>
        <v>87500.055395970077</v>
      </c>
      <c r="F29" s="5">
        <f t="shared" si="8"/>
        <v>37442.377503424432</v>
      </c>
      <c r="G29" s="10">
        <f>F29/E29</f>
        <v>0.42791261484331455</v>
      </c>
      <c r="H29" s="5">
        <f>SUM('Amortization Table Mortgage'!D12:D17)</f>
        <v>-3213.4071691379781</v>
      </c>
      <c r="I29" s="5">
        <f>SUM('Amortization Table Mortgage'!E12:E17)</f>
        <v>-11778.169618093039</v>
      </c>
      <c r="J29" s="37">
        <f t="shared" si="9"/>
        <v>-14991.576787231017</v>
      </c>
      <c r="K29" s="3">
        <f t="shared" si="6"/>
        <v>452786.59283086204</v>
      </c>
      <c r="M29" s="37">
        <f t="shared" si="7"/>
        <v>-840</v>
      </c>
      <c r="N29" s="47">
        <f t="shared" si="2"/>
        <v>-1200</v>
      </c>
      <c r="O29" s="47">
        <f t="shared" si="3"/>
        <v>-900</v>
      </c>
      <c r="P29" s="5">
        <f>SUM('Amortization Table Construction'!D12:D17)</f>
        <v>-229.02573025654451</v>
      </c>
      <c r="Q29" s="5">
        <f>SUM('Amortization Table Construction'!E12:E17)</f>
        <v>-839.45287848250803</v>
      </c>
      <c r="R29" s="5">
        <f>P29+Q29</f>
        <v>-1068.4786087390526</v>
      </c>
      <c r="S29" s="41">
        <f>$E$10+P29</f>
        <v>32270.974269743456</v>
      </c>
      <c r="T29" s="34"/>
    </row>
    <row r="30" spans="2:26" x14ac:dyDescent="0.25">
      <c r="B30">
        <v>7</v>
      </c>
      <c r="C30" s="3">
        <f t="shared" si="0"/>
        <v>610000</v>
      </c>
      <c r="D30" s="3">
        <f t="shared" ref="D30:D47" si="12">C30-K30-S30</f>
        <v>125524.87275276599</v>
      </c>
      <c r="E30" s="5">
        <f t="shared" si="10"/>
        <v>90666.731295298421</v>
      </c>
      <c r="F30" s="5">
        <f t="shared" ref="F30:F46" si="13">D30-E30</f>
        <v>34858.141457467573</v>
      </c>
      <c r="G30" s="10">
        <f t="shared" si="1"/>
        <v>0.38446452143439258</v>
      </c>
      <c r="H30" s="5">
        <f>SUM('Amortization Table Mortgage'!D12:D18)</f>
        <v>-3757.0971857959007</v>
      </c>
      <c r="I30" s="5">
        <f>SUM('Amortization Table Mortgage'!E12:E18)</f>
        <v>-13733.075732640285</v>
      </c>
      <c r="J30" s="37">
        <f t="shared" si="9"/>
        <v>-17490.172918436187</v>
      </c>
      <c r="K30" s="3">
        <f t="shared" si="6"/>
        <v>452242.90281420411</v>
      </c>
      <c r="M30" s="37">
        <f t="shared" si="7"/>
        <v>-980</v>
      </c>
      <c r="N30" s="47">
        <f t="shared" si="2"/>
        <v>-1400</v>
      </c>
      <c r="O30" s="47">
        <f t="shared" si="3"/>
        <v>-1050</v>
      </c>
      <c r="P30" s="5">
        <f>SUM('Amortization Table Construction'!D12:D18)</f>
        <v>-267.7755669701026</v>
      </c>
      <c r="Q30" s="5">
        <f>SUM('Amortization Table Construction'!E12:E18)</f>
        <v>-978.78280989212544</v>
      </c>
      <c r="R30" s="5">
        <f t="shared" si="4"/>
        <v>-1246.558376862228</v>
      </c>
      <c r="S30" s="41">
        <f t="shared" si="11"/>
        <v>32232.224433029896</v>
      </c>
      <c r="T30" s="34"/>
    </row>
    <row r="31" spans="2:26" x14ac:dyDescent="0.25">
      <c r="B31">
        <v>8</v>
      </c>
      <c r="C31" s="3">
        <f t="shared" si="0"/>
        <v>610000</v>
      </c>
      <c r="D31" s="3">
        <f>C31-K31-S31</f>
        <v>126109.82729020441</v>
      </c>
      <c r="E31" s="5">
        <f t="shared" si="10"/>
        <v>93833.407194626765</v>
      </c>
      <c r="F31" s="5">
        <f t="shared" si="13"/>
        <v>32276.420095577647</v>
      </c>
      <c r="G31" s="10">
        <f t="shared" si="1"/>
        <v>0.34397578709500287</v>
      </c>
      <c r="H31" s="5">
        <f>SUM('Amortization Table Mortgage'!D12:D19)</f>
        <v>-4303.1345841007442</v>
      </c>
      <c r="I31" s="5">
        <f>SUM('Amortization Table Mortgage'!E12:E19)</f>
        <v>-15685.634465540612</v>
      </c>
      <c r="J31" s="37">
        <f t="shared" si="9"/>
        <v>-19988.769049641356</v>
      </c>
      <c r="K31" s="3">
        <f t="shared" si="6"/>
        <v>451696.86541589926</v>
      </c>
      <c r="M31" s="37">
        <f t="shared" si="7"/>
        <v>-1120</v>
      </c>
      <c r="N31" s="47">
        <f t="shared" si="2"/>
        <v>-1600</v>
      </c>
      <c r="O31" s="47">
        <f t="shared" si="3"/>
        <v>-1200</v>
      </c>
      <c r="P31" s="5">
        <f>SUM('Amortization Table Construction'!D12:D19)</f>
        <v>-306.69270610367147</v>
      </c>
      <c r="Q31" s="5">
        <f>SUM('Amortization Table Construction'!E12:E19)</f>
        <v>-1117.9454388817321</v>
      </c>
      <c r="R31" s="5">
        <f t="shared" si="4"/>
        <v>-1424.6381449854036</v>
      </c>
      <c r="S31" s="41">
        <f t="shared" si="11"/>
        <v>32193.307293896327</v>
      </c>
    </row>
    <row r="32" spans="2:26" x14ac:dyDescent="0.25">
      <c r="B32">
        <v>9</v>
      </c>
      <c r="C32" s="3">
        <f t="shared" si="0"/>
        <v>610000</v>
      </c>
      <c r="D32" s="3">
        <f t="shared" si="12"/>
        <v>126697.30736885821</v>
      </c>
      <c r="E32" s="5">
        <f t="shared" ref="E32:E47" si="14">$C$16+ABS(J32)+ABS(R32)+ABS(M32)+ABS(N32)+ABS(O32)</f>
        <v>97000.083093955094</v>
      </c>
      <c r="F32" s="5">
        <f t="shared" si="13"/>
        <v>29697.224274903114</v>
      </c>
      <c r="G32" s="10">
        <f t="shared" si="1"/>
        <v>0.30615668902198911</v>
      </c>
      <c r="H32" s="5">
        <f>SUM('Amortization Table Mortgage'!D12:D20)</f>
        <v>-4851.5294988727683</v>
      </c>
      <c r="I32" s="5">
        <f>SUM('Amortization Table Mortgage'!E12:E20)</f>
        <v>-17635.835681973756</v>
      </c>
      <c r="J32" s="37">
        <f t="shared" si="9"/>
        <v>-22487.365180846526</v>
      </c>
      <c r="K32" s="3">
        <f t="shared" si="6"/>
        <v>451148.47050112725</v>
      </c>
      <c r="M32" s="37">
        <f t="shared" si="7"/>
        <v>-1260</v>
      </c>
      <c r="N32" s="47">
        <f t="shared" si="2"/>
        <v>-1800</v>
      </c>
      <c r="O32" s="47">
        <f t="shared" si="3"/>
        <v>-1350</v>
      </c>
      <c r="P32" s="5">
        <f>SUM('Amortization Table Construction'!D12:D20)</f>
        <v>-345.77786998544951</v>
      </c>
      <c r="Q32" s="5">
        <f>SUM('Amortization Table Construction'!E12:E20)</f>
        <v>-1256.9400431231295</v>
      </c>
      <c r="R32" s="5">
        <f t="shared" si="4"/>
        <v>-1602.7179131085791</v>
      </c>
      <c r="S32" s="41">
        <f t="shared" si="11"/>
        <v>32154.22213001455</v>
      </c>
    </row>
    <row r="33" spans="2:19" x14ac:dyDescent="0.25">
      <c r="B33">
        <v>10</v>
      </c>
      <c r="C33" s="3">
        <f t="shared" si="0"/>
        <v>610000</v>
      </c>
      <c r="D33" s="3">
        <f t="shared" si="12"/>
        <v>127287.32389275161</v>
      </c>
      <c r="E33" s="5">
        <f t="shared" si="14"/>
        <v>100166.75899328344</v>
      </c>
      <c r="F33" s="5">
        <f>D33-E33</f>
        <v>27120.564899468169</v>
      </c>
      <c r="G33" s="10">
        <f t="shared" si="1"/>
        <v>0.27075414211302079</v>
      </c>
      <c r="H33" s="5">
        <f>SUM('Amortization Table Mortgage'!D12:D21)</f>
        <v>-5402.2921086893202</v>
      </c>
      <c r="I33" s="5">
        <f>SUM('Amortization Table Mortgage'!E12:E21)</f>
        <v>-19583.669203362373</v>
      </c>
      <c r="J33" s="37">
        <f t="shared" si="9"/>
        <v>-24985.961312051695</v>
      </c>
      <c r="K33" s="3">
        <f t="shared" si="6"/>
        <v>450597.70789131068</v>
      </c>
      <c r="M33" s="37">
        <f t="shared" si="7"/>
        <v>-1400</v>
      </c>
      <c r="N33" s="47">
        <f t="shared" si="2"/>
        <v>-2000</v>
      </c>
      <c r="O33" s="47">
        <f>-$E$13*B33</f>
        <v>-1500</v>
      </c>
      <c r="P33" s="5">
        <f>SUM('Amortization Table Construction'!D12:D21)</f>
        <v>-385.0317840622871</v>
      </c>
      <c r="Q33" s="5">
        <f>SUM('Amortization Table Construction'!E12:E21)</f>
        <v>-1395.7658971694673</v>
      </c>
      <c r="R33" s="5">
        <f t="shared" si="4"/>
        <v>-1780.7976812317543</v>
      </c>
      <c r="S33" s="41">
        <f t="shared" si="11"/>
        <v>32114.968215937712</v>
      </c>
    </row>
    <row r="34" spans="2:19" x14ac:dyDescent="0.25">
      <c r="B34">
        <v>11</v>
      </c>
      <c r="C34" s="3">
        <f t="shared" si="0"/>
        <v>610000</v>
      </c>
      <c r="D34" s="3">
        <f t="shared" si="12"/>
        <v>127879.88781298688</v>
      </c>
      <c r="E34" s="5">
        <f t="shared" si="14"/>
        <v>103333.4348926118</v>
      </c>
      <c r="F34" s="5">
        <f t="shared" si="13"/>
        <v>24546.452920375086</v>
      </c>
      <c r="G34" s="10">
        <f t="shared" si="1"/>
        <v>0.23754608511644593</v>
      </c>
      <c r="H34" s="5">
        <f>SUM('Amortization Table Mortgage'!D12:D22)</f>
        <v>-5955.4326360737559</v>
      </c>
      <c r="I34" s="5">
        <f>SUM('Amortization Table Mortgage'!E12:E22)</f>
        <v>-21529.124807183107</v>
      </c>
      <c r="J34" s="37">
        <f t="shared" si="9"/>
        <v>-27484.557443256861</v>
      </c>
      <c r="K34" s="3">
        <f t="shared" si="6"/>
        <v>450044.56736392627</v>
      </c>
      <c r="M34" s="37">
        <f t="shared" si="7"/>
        <v>-1540</v>
      </c>
      <c r="N34" s="47">
        <f t="shared" si="2"/>
        <v>-2200</v>
      </c>
      <c r="O34" s="47">
        <f t="shared" si="3"/>
        <v>-1650</v>
      </c>
      <c r="P34" s="5">
        <f>SUM('Amortization Table Construction'!D12:D22)</f>
        <v>-424.45517691315149</v>
      </c>
      <c r="Q34" s="5">
        <f>SUM('Amortization Table Construction'!E12:E22)</f>
        <v>-1534.4222724417784</v>
      </c>
      <c r="R34" s="5">
        <f t="shared" si="4"/>
        <v>-1958.8774493549299</v>
      </c>
      <c r="S34" s="41">
        <f t="shared" si="11"/>
        <v>32075.54482308685</v>
      </c>
    </row>
    <row r="35" spans="2:19" x14ac:dyDescent="0.25">
      <c r="B35">
        <v>12</v>
      </c>
      <c r="C35" s="3">
        <f t="shared" si="0"/>
        <v>610000</v>
      </c>
      <c r="D35" s="3">
        <f>C35-K35-S35</f>
        <v>128475.01012794784</v>
      </c>
      <c r="E35" s="5">
        <f t="shared" si="14"/>
        <v>106500.11079194014</v>
      </c>
      <c r="F35" s="5">
        <f t="shared" si="13"/>
        <v>21974.8993360077</v>
      </c>
      <c r="G35" s="10">
        <f>F35/E35</f>
        <v>0.20633686831498343</v>
      </c>
      <c r="H35" s="5">
        <f>SUM('Amortization Table Mortgage'!D12:D23)</f>
        <v>-6510.9613476851737</v>
      </c>
      <c r="I35" s="5">
        <f>SUM('Amortization Table Mortgage'!E12:E23)</f>
        <v>-23472.19222677686</v>
      </c>
      <c r="J35" s="37">
        <f t="shared" si="9"/>
        <v>-29983.153574462034</v>
      </c>
      <c r="K35" s="3">
        <f t="shared" si="6"/>
        <v>449489.0386523148</v>
      </c>
      <c r="M35" s="37">
        <f t="shared" si="7"/>
        <v>-1680</v>
      </c>
      <c r="N35" s="47">
        <f t="shared" si="2"/>
        <v>-2400</v>
      </c>
      <c r="O35" s="47">
        <f t="shared" si="3"/>
        <v>-1800</v>
      </c>
      <c r="P35" s="5">
        <f>SUM('Amortization Table Construction'!D12:D23)</f>
        <v>-464.04878026264947</v>
      </c>
      <c r="Q35" s="5">
        <f>SUM('Amortization Table Construction'!E12:E23)</f>
        <v>-1672.9084372154559</v>
      </c>
      <c r="R35" s="5">
        <f t="shared" si="4"/>
        <v>-2136.9572174781056</v>
      </c>
      <c r="S35" s="41">
        <f t="shared" si="11"/>
        <v>32035.951219737351</v>
      </c>
    </row>
    <row r="36" spans="2:19" x14ac:dyDescent="0.25">
      <c r="B36">
        <v>13</v>
      </c>
      <c r="C36" s="3">
        <f t="shared" si="0"/>
        <v>610000</v>
      </c>
      <c r="D36" s="3">
        <f>C36-K36-S36</f>
        <v>129072.70188350359</v>
      </c>
      <c r="E36" s="5">
        <f>$C$16+ABS(J36)+ABS(R36)+ABS(M36)+ABS(N36)+ABS(O36)</f>
        <v>109666.78669126848</v>
      </c>
      <c r="F36" s="5">
        <f>D36-E36</f>
        <v>19405.915192235101</v>
      </c>
      <c r="G36" s="10">
        <f t="shared" si="1"/>
        <v>0.17695344030518742</v>
      </c>
      <c r="H36" s="5">
        <f>SUM('Amortization Table Mortgage'!D12:D24)</f>
        <v>-7068.8885545089734</v>
      </c>
      <c r="I36" s="5">
        <f>SUM('Amortization Table Mortgage'!E12:E24)</f>
        <v>-25412.861151158231</v>
      </c>
      <c r="J36" s="37">
        <f t="shared" si="9"/>
        <v>-32481.749705667204</v>
      </c>
      <c r="K36" s="3">
        <f t="shared" si="6"/>
        <v>448931.11144549103</v>
      </c>
      <c r="M36" s="37">
        <f t="shared" si="7"/>
        <v>-1820</v>
      </c>
      <c r="N36" s="47">
        <f t="shared" si="2"/>
        <v>-2600</v>
      </c>
      <c r="O36" s="47">
        <f t="shared" si="3"/>
        <v>-1950</v>
      </c>
      <c r="P36" s="5">
        <f>SUM('Amortization Table Construction'!D12:D24)</f>
        <v>-503.81332899460892</v>
      </c>
      <c r="Q36" s="5">
        <f>SUM('Amortization Table Construction'!E12:E24)</f>
        <v>-1811.223656606672</v>
      </c>
      <c r="R36" s="5">
        <f t="shared" si="4"/>
        <v>-2315.0369856012808</v>
      </c>
      <c r="S36" s="41">
        <f t="shared" si="11"/>
        <v>31996.186671005391</v>
      </c>
    </row>
    <row r="37" spans="2:19" x14ac:dyDescent="0.25">
      <c r="B37">
        <v>14</v>
      </c>
      <c r="C37" s="3">
        <f t="shared" si="0"/>
        <v>610000</v>
      </c>
      <c r="D37" s="3">
        <f t="shared" si="12"/>
        <v>129672.97417321397</v>
      </c>
      <c r="E37" s="5">
        <f t="shared" si="14"/>
        <v>112833.46259059684</v>
      </c>
      <c r="F37" s="5">
        <f t="shared" si="13"/>
        <v>16839.511582617124</v>
      </c>
      <c r="G37" s="10">
        <f t="shared" si="1"/>
        <v>0.14924217688610109</v>
      </c>
      <c r="H37" s="5">
        <f>SUM('Amortization Table Mortgage'!D12:D25)</f>
        <v>-7629.224612048235</v>
      </c>
      <c r="I37" s="5">
        <f>SUM('Amortization Table Mortgage'!E12:E25)</f>
        <v>-27351.121224824139</v>
      </c>
      <c r="J37" s="37">
        <f t="shared" si="9"/>
        <v>-34980.345836872373</v>
      </c>
      <c r="K37" s="3">
        <f t="shared" si="6"/>
        <v>448370.77538795175</v>
      </c>
      <c r="M37" s="37">
        <f t="shared" si="7"/>
        <v>-1960</v>
      </c>
      <c r="N37" s="47">
        <f t="shared" si="2"/>
        <v>-2800</v>
      </c>
      <c r="O37" s="47">
        <f t="shared" si="3"/>
        <v>-2100</v>
      </c>
      <c r="P37" s="5">
        <f>SUM('Amortization Table Construction'!D12:D25)</f>
        <v>-543.74956116571855</v>
      </c>
      <c r="Q37" s="5">
        <f>SUM('Amortization Table Construction'!E12:E25)</f>
        <v>-1949.3671925587378</v>
      </c>
      <c r="R37" s="5">
        <f t="shared" si="4"/>
        <v>-2493.1167537244564</v>
      </c>
      <c r="S37" s="41">
        <f t="shared" si="11"/>
        <v>31956.250438834282</v>
      </c>
    </row>
    <row r="38" spans="2:19" x14ac:dyDescent="0.25">
      <c r="B38">
        <v>15</v>
      </c>
      <c r="C38" s="3">
        <f t="shared" si="0"/>
        <v>610000</v>
      </c>
      <c r="D38" s="3">
        <f t="shared" si="12"/>
        <v>130275.83813853514</v>
      </c>
      <c r="E38" s="5">
        <f t="shared" si="14"/>
        <v>116000.13848992517</v>
      </c>
      <c r="F38" s="5">
        <f t="shared" si="13"/>
        <v>14275.699648609967</v>
      </c>
      <c r="G38" s="10">
        <f t="shared" si="1"/>
        <v>0.12306622935497476</v>
      </c>
      <c r="H38" s="5">
        <f>SUM('Amortization Table Mortgage'!D12:D26)</f>
        <v>-8191.9799205159225</v>
      </c>
      <c r="I38" s="5">
        <f>SUM('Amortization Table Mortgage'!E12:E26)</f>
        <v>-29286.962047561621</v>
      </c>
      <c r="J38" s="37">
        <f t="shared" si="9"/>
        <v>-37478.941968077546</v>
      </c>
      <c r="K38" s="3">
        <f t="shared" si="6"/>
        <v>447808.02007948409</v>
      </c>
      <c r="M38" s="37">
        <f t="shared" si="7"/>
        <v>-2100</v>
      </c>
      <c r="N38" s="47">
        <f t="shared" si="2"/>
        <v>-3000</v>
      </c>
      <c r="O38" s="47">
        <f t="shared" si="3"/>
        <v>-2250</v>
      </c>
      <c r="P38" s="5">
        <f>SUM('Amortization Table Construction'!D12:D26)</f>
        <v>-583.85821801922702</v>
      </c>
      <c r="Q38" s="5">
        <f>SUM('Amortization Table Construction'!E12:E26)</f>
        <v>-2087.3383038284046</v>
      </c>
      <c r="R38" s="5">
        <f t="shared" si="4"/>
        <v>-2671.1965218476316</v>
      </c>
      <c r="S38" s="41">
        <f t="shared" si="11"/>
        <v>31916.141781980772</v>
      </c>
    </row>
    <row r="39" spans="2:19" x14ac:dyDescent="0.25">
      <c r="B39">
        <v>16</v>
      </c>
      <c r="C39" s="3">
        <f t="shared" si="0"/>
        <v>610000</v>
      </c>
      <c r="D39" s="3">
        <f t="shared" si="12"/>
        <v>130881.30496902663</v>
      </c>
      <c r="E39" s="5">
        <f t="shared" si="14"/>
        <v>119166.81438925352</v>
      </c>
      <c r="F39" s="5">
        <f t="shared" si="13"/>
        <v>11714.490579773119</v>
      </c>
      <c r="G39" s="10">
        <f t="shared" si="1"/>
        <v>9.8303295592917464E-2</v>
      </c>
      <c r="H39" s="5">
        <f>SUM('Amortization Table Mortgage'!D12:D27)</f>
        <v>-8757.1649250279188</v>
      </c>
      <c r="I39" s="5">
        <f>SUM('Amortization Table Mortgage'!E12:E27)</f>
        <v>-31220.373174254793</v>
      </c>
      <c r="J39" s="37">
        <f t="shared" si="9"/>
        <v>-39977.538099282712</v>
      </c>
      <c r="K39" s="3">
        <f t="shared" si="6"/>
        <v>447242.83507497207</v>
      </c>
      <c r="M39" s="37">
        <f t="shared" si="7"/>
        <v>-2240</v>
      </c>
      <c r="N39" s="47">
        <f t="shared" si="2"/>
        <v>-3200</v>
      </c>
      <c r="O39" s="47">
        <f t="shared" si="3"/>
        <v>-2400</v>
      </c>
      <c r="P39" s="5">
        <f>SUM('Amortization Table Construction'!D12:D27)</f>
        <v>-624.14004399870043</v>
      </c>
      <c r="Q39" s="5">
        <f>SUM('Amortization Table Construction'!E12:E27)</f>
        <v>-2225.1362459721067</v>
      </c>
      <c r="R39" s="5">
        <f t="shared" si="4"/>
        <v>-2849.2762899708073</v>
      </c>
      <c r="S39" s="41">
        <f t="shared" si="11"/>
        <v>31875.859956001299</v>
      </c>
    </row>
    <row r="40" spans="2:19" x14ac:dyDescent="0.25">
      <c r="B40">
        <v>17</v>
      </c>
      <c r="C40" s="3">
        <f t="shared" si="0"/>
        <v>610000</v>
      </c>
      <c r="D40" s="3">
        <f t="shared" si="12"/>
        <v>131489.38590255874</v>
      </c>
      <c r="E40" s="5">
        <f t="shared" si="14"/>
        <v>122333.49028858186</v>
      </c>
      <c r="F40" s="5">
        <f t="shared" si="13"/>
        <v>9155.8956139768852</v>
      </c>
      <c r="G40" s="10">
        <f t="shared" si="1"/>
        <v>7.48437373312765E-2</v>
      </c>
      <c r="H40" s="5">
        <f>SUM('Amortization Table Mortgage'!D12:D28)</f>
        <v>-9324.7901157968954</v>
      </c>
      <c r="I40" s="5">
        <f>SUM('Amortization Table Mortgage'!E12:E28)</f>
        <v>-33151.344114690983</v>
      </c>
      <c r="J40" s="37">
        <f t="shared" si="9"/>
        <v>-42476.134230487878</v>
      </c>
      <c r="K40" s="3">
        <f t="shared" si="6"/>
        <v>446675.2098842031</v>
      </c>
      <c r="M40" s="37">
        <f t="shared" si="7"/>
        <v>-2380</v>
      </c>
      <c r="N40" s="47">
        <f t="shared" si="2"/>
        <v>-3400</v>
      </c>
      <c r="O40" s="47">
        <f t="shared" si="3"/>
        <v>-2550</v>
      </c>
      <c r="P40" s="5">
        <f>SUM('Amortization Table Construction'!D12:D28)</f>
        <v>-664.59578676184026</v>
      </c>
      <c r="Q40" s="5">
        <f>SUM('Amortization Table Construction'!E12:E28)</f>
        <v>-2362.7602713321426</v>
      </c>
      <c r="R40" s="5">
        <f t="shared" si="4"/>
        <v>-3027.3560580939829</v>
      </c>
      <c r="S40" s="41">
        <f t="shared" si="11"/>
        <v>31835.404213238158</v>
      </c>
    </row>
    <row r="41" spans="2:19" x14ac:dyDescent="0.25">
      <c r="B41">
        <v>18</v>
      </c>
      <c r="C41" s="3">
        <f t="shared" si="0"/>
        <v>610000</v>
      </c>
      <c r="D41" s="3">
        <f t="shared" si="12"/>
        <v>132100.0922255214</v>
      </c>
      <c r="E41" s="5">
        <f t="shared" si="14"/>
        <v>125500.1661879102</v>
      </c>
      <c r="F41" s="5">
        <f t="shared" si="13"/>
        <v>6599.9260376111924</v>
      </c>
      <c r="G41" s="10">
        <f t="shared" si="1"/>
        <v>5.2588982453849395E-2</v>
      </c>
      <c r="H41" s="5">
        <f>SUM('Amortization Table Mortgage'!D12:D29)</f>
        <v>-9894.8660283270183</v>
      </c>
      <c r="I41" s="5">
        <f>SUM('Amortization Table Mortgage'!E12:E29)</f>
        <v>-35079.864333366029</v>
      </c>
      <c r="J41" s="37">
        <f t="shared" si="9"/>
        <v>-44974.730361693044</v>
      </c>
      <c r="K41" s="3">
        <f t="shared" si="6"/>
        <v>446105.13397167297</v>
      </c>
      <c r="M41" s="37">
        <f t="shared" si="7"/>
        <v>-2520</v>
      </c>
      <c r="N41" s="47">
        <f t="shared" si="2"/>
        <v>-3600</v>
      </c>
      <c r="O41" s="47">
        <f t="shared" si="3"/>
        <v>-2700</v>
      </c>
      <c r="P41" s="5">
        <f>SUM('Amortization Table Construction'!D12:D29)</f>
        <v>-705.22619719436</v>
      </c>
      <c r="Q41" s="5">
        <f>SUM('Amortization Table Construction'!E12:E29)</f>
        <v>-2500.2096290227983</v>
      </c>
      <c r="R41" s="5">
        <f t="shared" si="4"/>
        <v>-3205.4358262171581</v>
      </c>
      <c r="S41" s="41">
        <f t="shared" si="11"/>
        <v>31794.773802805641</v>
      </c>
    </row>
    <row r="42" spans="2:19" x14ac:dyDescent="0.25">
      <c r="B42">
        <v>19</v>
      </c>
      <c r="C42" s="3">
        <f t="shared" si="0"/>
        <v>610000</v>
      </c>
      <c r="D42" s="3">
        <f t="shared" si="12"/>
        <v>132713.43527303339</v>
      </c>
      <c r="E42" s="5">
        <f t="shared" si="14"/>
        <v>128666.84208723855</v>
      </c>
      <c r="F42" s="5">
        <f t="shared" si="13"/>
        <v>4046.5931857948453</v>
      </c>
      <c r="G42" s="10">
        <f t="shared" si="1"/>
        <v>3.1450163228931807E-2</v>
      </c>
      <c r="H42" s="5">
        <f>SUM('Amortization Table Mortgage'!D12:D30)</f>
        <v>-10467.403243609489</v>
      </c>
      <c r="I42" s="5">
        <f>SUM('Amortization Table Mortgage'!E12:E30)</f>
        <v>-37005.923249288724</v>
      </c>
      <c r="J42" s="37">
        <f t="shared" si="9"/>
        <v>-47473.32649289821</v>
      </c>
      <c r="K42" s="3">
        <f t="shared" ref="K42:K47" si="15">$C$9+H42</f>
        <v>445532.59675639053</v>
      </c>
      <c r="M42" s="37">
        <f t="shared" si="7"/>
        <v>-2660</v>
      </c>
      <c r="N42" s="47">
        <f t="shared" si="2"/>
        <v>-3800</v>
      </c>
      <c r="O42" s="47">
        <f t="shared" si="3"/>
        <v>-2850</v>
      </c>
      <c r="P42" s="5">
        <f>SUM('Amortization Table Construction'!D12:D30)</f>
        <v>-746.03202942392204</v>
      </c>
      <c r="Q42" s="5">
        <f>SUM('Amortization Table Construction'!E12:E30)</f>
        <v>-2637.4835649164115</v>
      </c>
      <c r="R42" s="5">
        <f t="shared" si="4"/>
        <v>-3383.5155943403333</v>
      </c>
      <c r="S42" s="41">
        <f t="shared" si="11"/>
        <v>31753.967970576079</v>
      </c>
    </row>
    <row r="43" spans="2:19" x14ac:dyDescent="0.25">
      <c r="B43">
        <v>20</v>
      </c>
      <c r="C43" s="3">
        <f t="shared" si="0"/>
        <v>610000</v>
      </c>
      <c r="D43" s="3">
        <f t="shared" si="12"/>
        <v>133329.42642915304</v>
      </c>
      <c r="E43" s="5">
        <f t="shared" si="14"/>
        <v>131833.51798656688</v>
      </c>
      <c r="F43" s="5">
        <f t="shared" si="13"/>
        <v>1495.9084425861656</v>
      </c>
      <c r="G43" s="10">
        <f t="shared" si="1"/>
        <v>1.134695080152978E-2</v>
      </c>
      <c r="H43" s="5">
        <f>SUM('Amortization Table Mortgage'!D12:D31)</f>
        <v>-11042.412388318942</v>
      </c>
      <c r="I43" s="5">
        <f>SUM('Amortization Table Mortgage'!E12:E31)</f>
        <v>-38929.510235784437</v>
      </c>
      <c r="J43" s="37">
        <f t="shared" si="9"/>
        <v>-49971.922624103376</v>
      </c>
      <c r="K43" s="3">
        <f t="shared" si="15"/>
        <v>444957.58761168108</v>
      </c>
      <c r="M43" s="37">
        <f t="shared" si="7"/>
        <v>-2800</v>
      </c>
      <c r="N43" s="47">
        <f t="shared" si="2"/>
        <v>-4000</v>
      </c>
      <c r="O43" s="47">
        <f t="shared" si="3"/>
        <v>-3000</v>
      </c>
      <c r="P43" s="5">
        <f>SUM('Amortization Table Construction'!D12:D31)</f>
        <v>-787.01404083413524</v>
      </c>
      <c r="Q43" s="5">
        <f>SUM('Amortization Table Construction'!E12:E31)</f>
        <v>-2774.5813216293736</v>
      </c>
      <c r="R43" s="5">
        <f t="shared" si="4"/>
        <v>-3561.595362463509</v>
      </c>
      <c r="S43" s="41">
        <f t="shared" si="11"/>
        <v>31712.985959165864</v>
      </c>
    </row>
    <row r="44" spans="2:19" x14ac:dyDescent="0.25">
      <c r="B44">
        <v>21</v>
      </c>
      <c r="C44" s="3">
        <f t="shared" si="0"/>
        <v>610000</v>
      </c>
      <c r="D44" s="3">
        <f t="shared" si="12"/>
        <v>133948.07712708929</v>
      </c>
      <c r="E44" s="5">
        <f t="shared" si="14"/>
        <v>135000.19388589525</v>
      </c>
      <c r="F44" s="5">
        <f t="shared" si="13"/>
        <v>-1052.1167588059616</v>
      </c>
      <c r="G44" s="10">
        <f t="shared" si="1"/>
        <v>-7.7934462797529819E-3</v>
      </c>
      <c r="H44" s="5">
        <f>SUM('Amortization Table Mortgage'!D12:D32)</f>
        <v>-11619.904135010678</v>
      </c>
      <c r="I44" s="5">
        <f>SUM('Amortization Table Mortgage'!E12:E32)</f>
        <v>-40850.614620297871</v>
      </c>
      <c r="J44" s="37">
        <f t="shared" si="9"/>
        <v>-52470.518755308549</v>
      </c>
      <c r="K44" s="3">
        <f t="shared" si="15"/>
        <v>444380.09586498933</v>
      </c>
      <c r="M44" s="37">
        <f t="shared" si="7"/>
        <v>-2940</v>
      </c>
      <c r="N44" s="47">
        <f t="shared" si="2"/>
        <v>-4200</v>
      </c>
      <c r="O44" s="47">
        <f t="shared" si="3"/>
        <v>-3150</v>
      </c>
      <c r="P44" s="5">
        <f>SUM('Amortization Table Construction'!D12:D32)</f>
        <v>-828.17299207861208</v>
      </c>
      <c r="Q44" s="5">
        <f>SUM('Amortization Table Construction'!E12:E32)</f>
        <v>-2911.5021385080722</v>
      </c>
      <c r="R44" s="5">
        <f t="shared" si="4"/>
        <v>-3739.6751305866842</v>
      </c>
      <c r="S44" s="41">
        <f t="shared" si="11"/>
        <v>31671.827007921387</v>
      </c>
    </row>
    <row r="45" spans="2:19" x14ac:dyDescent="0.25">
      <c r="B45">
        <v>22</v>
      </c>
      <c r="C45" s="3">
        <f t="shared" si="0"/>
        <v>610000</v>
      </c>
      <c r="D45" s="3">
        <f t="shared" si="12"/>
        <v>134569.39884941382</v>
      </c>
      <c r="E45" s="5">
        <f t="shared" si="14"/>
        <v>138166.86978522356</v>
      </c>
      <c r="F45" s="5">
        <f t="shared" si="13"/>
        <v>-3597.4709358097462</v>
      </c>
      <c r="G45" s="10">
        <f t="shared" si="1"/>
        <v>-2.6037145817965707E-2</v>
      </c>
      <c r="H45" s="5">
        <f>SUM('Amortization Table Mortgage'!D12:D33)</f>
        <v>-12199.889202318756</v>
      </c>
      <c r="I45" s="5">
        <f>SUM('Amortization Table Mortgage'!E12:E33)</f>
        <v>-42769.225684194964</v>
      </c>
      <c r="J45" s="37">
        <f t="shared" si="9"/>
        <v>-54969.114886513722</v>
      </c>
      <c r="K45" s="3">
        <f t="shared" si="15"/>
        <v>443800.11079768126</v>
      </c>
      <c r="M45" s="37">
        <f t="shared" si="7"/>
        <v>-3080</v>
      </c>
      <c r="N45" s="47">
        <f t="shared" si="2"/>
        <v>-4400</v>
      </c>
      <c r="O45" s="47">
        <f t="shared" si="3"/>
        <v>-3300</v>
      </c>
      <c r="P45" s="5">
        <f>SUM('Amortization Table Construction'!D12:D33)</f>
        <v>-869.50964709508696</v>
      </c>
      <c r="Q45" s="5">
        <f>SUM('Amortization Table Construction'!E12:E33)</f>
        <v>-3048.2452516147728</v>
      </c>
      <c r="R45" s="5">
        <f t="shared" si="4"/>
        <v>-3917.7548987098598</v>
      </c>
      <c r="S45" s="41">
        <f t="shared" si="11"/>
        <v>31630.490352904912</v>
      </c>
    </row>
    <row r="46" spans="2:19" x14ac:dyDescent="0.25">
      <c r="B46">
        <v>23</v>
      </c>
      <c r="C46" s="3">
        <f t="shared" si="0"/>
        <v>610000</v>
      </c>
      <c r="D46" s="3">
        <f t="shared" si="12"/>
        <v>135193.40312827454</v>
      </c>
      <c r="E46" s="5">
        <f t="shared" si="14"/>
        <v>141333.54568455194</v>
      </c>
      <c r="F46" s="5">
        <f t="shared" si="13"/>
        <v>-6140.1425562773948</v>
      </c>
      <c r="G46" s="10">
        <f t="shared" si="1"/>
        <v>-4.344433960485098E-2</v>
      </c>
      <c r="H46" s="5">
        <f>SUM('Amortization Table Mortgage'!D12:D34)</f>
        <v>-12782.378355154937</v>
      </c>
      <c r="I46" s="5">
        <f>SUM('Amortization Table Mortgage'!E12:E34)</f>
        <v>-44685.332662563953</v>
      </c>
      <c r="J46" s="37">
        <f t="shared" si="9"/>
        <v>-57467.711017718888</v>
      </c>
      <c r="K46" s="3">
        <f t="shared" si="15"/>
        <v>443217.62164484506</v>
      </c>
      <c r="M46" s="37">
        <f t="shared" si="7"/>
        <v>-3220</v>
      </c>
      <c r="N46" s="47">
        <f t="shared" si="2"/>
        <v>-4600</v>
      </c>
      <c r="O46" s="47">
        <f t="shared" si="3"/>
        <v>-3450</v>
      </c>
      <c r="P46" s="5">
        <f>SUM('Amortization Table Construction'!D12:D34)</f>
        <v>-911.02477311959547</v>
      </c>
      <c r="Q46" s="5">
        <f>SUM('Amortization Table Construction'!E12:E34)</f>
        <v>-3184.8098937134396</v>
      </c>
      <c r="R46" s="5">
        <f t="shared" si="4"/>
        <v>-4095.834666833035</v>
      </c>
      <c r="S46" s="41">
        <f t="shared" si="11"/>
        <v>31588.975226880404</v>
      </c>
    </row>
    <row r="47" spans="2:19" x14ac:dyDescent="0.25">
      <c r="B47">
        <v>24</v>
      </c>
      <c r="C47" s="3">
        <f t="shared" si="0"/>
        <v>610000</v>
      </c>
      <c r="D47" s="3">
        <f t="shared" si="12"/>
        <v>135820.10154560918</v>
      </c>
      <c r="E47" s="5">
        <f t="shared" si="14"/>
        <v>144500.22158388028</v>
      </c>
      <c r="F47" s="5">
        <f>D47-E47</f>
        <v>-8680.1200382710958</v>
      </c>
      <c r="G47" s="10">
        <f t="shared" si="1"/>
        <v>-6.0069942752526591E-2</v>
      </c>
      <c r="H47" s="5">
        <f>SUM('Amortization Table Mortgage'!D12:D35)</f>
        <v>-13367.382404908487</v>
      </c>
      <c r="I47" s="5">
        <f>SUM('Amortization Table Mortgage'!E12:E35)</f>
        <v>-46598.924744015574</v>
      </c>
      <c r="J47" s="37">
        <f t="shared" si="9"/>
        <v>-59966.307148924061</v>
      </c>
      <c r="K47" s="3">
        <f t="shared" si="15"/>
        <v>442632.61759509152</v>
      </c>
      <c r="M47" s="37">
        <f t="shared" si="7"/>
        <v>-3360</v>
      </c>
      <c r="N47" s="47">
        <f t="shared" si="2"/>
        <v>-4800</v>
      </c>
      <c r="O47" s="47">
        <f t="shared" si="3"/>
        <v>-3600</v>
      </c>
      <c r="P47" s="5">
        <f>SUM('Amortization Table Construction'!D12:D35)</f>
        <v>-952.71914070071477</v>
      </c>
      <c r="Q47" s="5">
        <f>SUM('Amortization Table Construction'!E12:E35)</f>
        <v>-3321.1952942554958</v>
      </c>
      <c r="R47" s="5">
        <f t="shared" si="4"/>
        <v>-4273.9144349562102</v>
      </c>
      <c r="S47" s="41">
        <f t="shared" si="11"/>
        <v>31547.280859299284</v>
      </c>
    </row>
    <row r="48" spans="2:19" x14ac:dyDescent="0.25">
      <c r="H48" s="5"/>
    </row>
    <row r="50" spans="4:15" x14ac:dyDescent="0.25">
      <c r="E50" t="s">
        <v>54</v>
      </c>
      <c r="H50" t="s">
        <v>54</v>
      </c>
      <c r="I50" t="s">
        <v>54</v>
      </c>
      <c r="J50" t="s">
        <v>54</v>
      </c>
      <c r="K50" t="s">
        <v>54</v>
      </c>
      <c r="N50" t="s">
        <v>54</v>
      </c>
      <c r="O50" t="s">
        <v>54</v>
      </c>
    </row>
    <row r="51" spans="4:15" x14ac:dyDescent="0.25">
      <c r="E51" t="s">
        <v>58</v>
      </c>
      <c r="H51" t="s">
        <v>56</v>
      </c>
      <c r="I51" t="s">
        <v>56</v>
      </c>
      <c r="J51" t="s">
        <v>56</v>
      </c>
      <c r="K51" t="s">
        <v>56</v>
      </c>
      <c r="N51" t="s">
        <v>55</v>
      </c>
      <c r="O51" t="s">
        <v>55</v>
      </c>
    </row>
    <row r="55" spans="4:15" x14ac:dyDescent="0.25">
      <c r="D55" t="s">
        <v>57</v>
      </c>
      <c r="E55" t="s">
        <v>57</v>
      </c>
      <c r="F55" t="s">
        <v>57</v>
      </c>
      <c r="K55" t="s">
        <v>57</v>
      </c>
    </row>
    <row r="59" spans="4:15" x14ac:dyDescent="0.25">
      <c r="E59" t="s">
        <v>59</v>
      </c>
      <c r="F59" t="s">
        <v>59</v>
      </c>
      <c r="K59" t="s">
        <v>59</v>
      </c>
    </row>
    <row r="131" spans="25:26" x14ac:dyDescent="0.25">
      <c r="Y131" s="5"/>
      <c r="Z131" s="5"/>
    </row>
    <row r="132" spans="25:26" x14ac:dyDescent="0.25">
      <c r="Y132" s="5"/>
      <c r="Z132" s="5"/>
    </row>
    <row r="133" spans="25:26" x14ac:dyDescent="0.25">
      <c r="Y133" s="5"/>
      <c r="Z133" s="5"/>
    </row>
    <row r="134" spans="25:26" x14ac:dyDescent="0.25">
      <c r="Y134" s="5"/>
      <c r="Z134" s="5"/>
    </row>
    <row r="135" spans="25:26" x14ac:dyDescent="0.25">
      <c r="Y135" s="5"/>
      <c r="Z135" s="5"/>
    </row>
    <row r="136" spans="25:26" x14ac:dyDescent="0.25">
      <c r="Y136" s="5"/>
      <c r="Z136" s="5"/>
    </row>
    <row r="137" spans="25:26" x14ac:dyDescent="0.25">
      <c r="Y137" s="5"/>
      <c r="Z137" s="5"/>
    </row>
    <row r="138" spans="25:26" x14ac:dyDescent="0.25">
      <c r="Y138" s="5"/>
      <c r="Z138" s="5"/>
    </row>
    <row r="139" spans="25:26" x14ac:dyDescent="0.25">
      <c r="Y139" s="5"/>
      <c r="Z139" s="5"/>
    </row>
    <row r="140" spans="25:26" x14ac:dyDescent="0.25">
      <c r="Y140" s="5"/>
      <c r="Z140" s="5"/>
    </row>
    <row r="141" spans="25:26" x14ac:dyDescent="0.25">
      <c r="Y141" s="5"/>
      <c r="Z141" s="5"/>
    </row>
    <row r="142" spans="25:26" x14ac:dyDescent="0.25">
      <c r="Y142" s="5"/>
      <c r="Z142" s="5"/>
    </row>
    <row r="143" spans="25:26" x14ac:dyDescent="0.25">
      <c r="Y143" s="5"/>
      <c r="Z143" s="5"/>
    </row>
    <row r="144" spans="25:26" x14ac:dyDescent="0.25">
      <c r="Y144" s="5"/>
      <c r="Z144" s="5"/>
    </row>
    <row r="145" spans="25:26" x14ac:dyDescent="0.25">
      <c r="Y145" s="5"/>
      <c r="Z145" s="5"/>
    </row>
    <row r="146" spans="25:26" x14ac:dyDescent="0.25">
      <c r="Y146" s="5"/>
      <c r="Z146" s="5"/>
    </row>
    <row r="147" spans="25:26" x14ac:dyDescent="0.25">
      <c r="Y147" s="5"/>
      <c r="Z147" s="5"/>
    </row>
    <row r="148" spans="25:26" x14ac:dyDescent="0.25">
      <c r="Y148" s="5"/>
      <c r="Z148" s="5"/>
    </row>
    <row r="149" spans="25:26" x14ac:dyDescent="0.25">
      <c r="Y149" s="5"/>
      <c r="Z149" s="5"/>
    </row>
    <row r="150" spans="25:26" x14ac:dyDescent="0.25">
      <c r="Y150" s="5"/>
      <c r="Z150" s="5"/>
    </row>
    <row r="151" spans="25:26" x14ac:dyDescent="0.25">
      <c r="Y151" s="5"/>
      <c r="Z151" s="5"/>
    </row>
    <row r="152" spans="25:26" x14ac:dyDescent="0.25">
      <c r="Y152" s="5"/>
      <c r="Z152" s="5"/>
    </row>
    <row r="153" spans="25:26" x14ac:dyDescent="0.25">
      <c r="Y153" s="5"/>
      <c r="Z153" s="5"/>
    </row>
    <row r="154" spans="25:26" x14ac:dyDescent="0.25">
      <c r="Y154" s="5"/>
      <c r="Z154" s="5"/>
    </row>
    <row r="155" spans="25:26" x14ac:dyDescent="0.25">
      <c r="Y155" s="5"/>
      <c r="Z155" s="5"/>
    </row>
    <row r="156" spans="25:26" x14ac:dyDescent="0.25">
      <c r="Y156" s="5"/>
      <c r="Z156" s="5"/>
    </row>
    <row r="157" spans="25:26" x14ac:dyDescent="0.25">
      <c r="Y157" s="5"/>
      <c r="Z157" s="5"/>
    </row>
    <row r="158" spans="25:26" x14ac:dyDescent="0.25">
      <c r="Y158" s="5"/>
      <c r="Z158" s="5"/>
    </row>
    <row r="159" spans="25:26" x14ac:dyDescent="0.25">
      <c r="Y159" s="5"/>
      <c r="Z159" s="5"/>
    </row>
    <row r="160" spans="25:26" x14ac:dyDescent="0.25">
      <c r="Y160" s="5"/>
      <c r="Z160" s="5"/>
    </row>
    <row r="161" spans="25:26" x14ac:dyDescent="0.25">
      <c r="Y161" s="5"/>
      <c r="Z161" s="5"/>
    </row>
    <row r="162" spans="25:26" x14ac:dyDescent="0.25">
      <c r="Y162" s="5"/>
      <c r="Z162" s="5"/>
    </row>
    <row r="163" spans="25:26" x14ac:dyDescent="0.25">
      <c r="Y163" s="5"/>
      <c r="Z163" s="5"/>
    </row>
    <row r="164" spans="25:26" x14ac:dyDescent="0.25">
      <c r="Y164" s="5"/>
      <c r="Z164" s="5"/>
    </row>
    <row r="165" spans="25:26" x14ac:dyDescent="0.25">
      <c r="Y165" s="5"/>
      <c r="Z165" s="5"/>
    </row>
    <row r="166" spans="25:26" x14ac:dyDescent="0.25">
      <c r="Y166" s="5"/>
      <c r="Z166" s="5"/>
    </row>
    <row r="167" spans="25:26" x14ac:dyDescent="0.25">
      <c r="Y167" s="5"/>
      <c r="Z167" s="5"/>
    </row>
    <row r="168" spans="25:26" x14ac:dyDescent="0.25">
      <c r="Y168" s="5"/>
      <c r="Z168" s="5"/>
    </row>
    <row r="169" spans="25:26" x14ac:dyDescent="0.25">
      <c r="Y169" s="5"/>
      <c r="Z169" s="5"/>
    </row>
    <row r="170" spans="25:26" x14ac:dyDescent="0.25">
      <c r="Y170" s="5"/>
      <c r="Z170" s="5"/>
    </row>
    <row r="171" spans="25:26" x14ac:dyDescent="0.25">
      <c r="Y171" s="5"/>
      <c r="Z171" s="5"/>
    </row>
    <row r="172" spans="25:26" x14ac:dyDescent="0.25">
      <c r="Y172" s="5"/>
      <c r="Z172" s="5"/>
    </row>
    <row r="173" spans="25:26" x14ac:dyDescent="0.25">
      <c r="Y173" s="5"/>
      <c r="Z173" s="5"/>
    </row>
    <row r="174" spans="25:26" x14ac:dyDescent="0.25">
      <c r="Y174" s="5"/>
      <c r="Z174" s="5"/>
    </row>
    <row r="175" spans="25:26" x14ac:dyDescent="0.25">
      <c r="Y175" s="5"/>
      <c r="Z175" s="5"/>
    </row>
    <row r="176" spans="25:26" x14ac:dyDescent="0.25">
      <c r="Y176" s="5"/>
      <c r="Z176" s="5"/>
    </row>
    <row r="177" spans="25:26" x14ac:dyDescent="0.25">
      <c r="Y177" s="5"/>
      <c r="Z177" s="5"/>
    </row>
    <row r="178" spans="25:26" x14ac:dyDescent="0.25">
      <c r="Y178" s="5"/>
      <c r="Z178" s="5"/>
    </row>
    <row r="179" spans="25:26" x14ac:dyDescent="0.25">
      <c r="Y179" s="5"/>
      <c r="Z179" s="5"/>
    </row>
    <row r="180" spans="25:26" x14ac:dyDescent="0.25">
      <c r="Y180" s="5"/>
      <c r="Z180" s="5"/>
    </row>
    <row r="181" spans="25:26" x14ac:dyDescent="0.25">
      <c r="Y181" s="5"/>
      <c r="Z181" s="5"/>
    </row>
    <row r="182" spans="25:26" x14ac:dyDescent="0.25">
      <c r="Y182" s="5"/>
      <c r="Z182" s="5"/>
    </row>
    <row r="183" spans="25:26" x14ac:dyDescent="0.25">
      <c r="Y183" s="5"/>
      <c r="Z183" s="5"/>
    </row>
    <row r="184" spans="25:26" x14ac:dyDescent="0.25">
      <c r="Y184" s="5"/>
      <c r="Z184" s="5"/>
    </row>
    <row r="185" spans="25:26" x14ac:dyDescent="0.25">
      <c r="Y185" s="5"/>
      <c r="Z185" s="5"/>
    </row>
    <row r="186" spans="25:26" x14ac:dyDescent="0.25">
      <c r="Y186" s="5"/>
      <c r="Z186" s="5"/>
    </row>
    <row r="187" spans="25:26" x14ac:dyDescent="0.25">
      <c r="Y187" s="5"/>
      <c r="Z187" s="5"/>
    </row>
    <row r="188" spans="25:26" x14ac:dyDescent="0.25">
      <c r="Y188" s="5"/>
      <c r="Z188" s="5"/>
    </row>
    <row r="189" spans="25:26" x14ac:dyDescent="0.25">
      <c r="Y189" s="5"/>
      <c r="Z189" s="5"/>
    </row>
    <row r="190" spans="25:26" x14ac:dyDescent="0.25">
      <c r="Y190" s="5"/>
      <c r="Z190" s="5"/>
    </row>
    <row r="191" spans="25:26" x14ac:dyDescent="0.25">
      <c r="Y191" s="5"/>
      <c r="Z191" s="5"/>
    </row>
    <row r="192" spans="25:26" x14ac:dyDescent="0.25">
      <c r="Y192" s="5"/>
      <c r="Z192" s="5"/>
    </row>
    <row r="193" spans="25:26" x14ac:dyDescent="0.25">
      <c r="Y193" s="5"/>
      <c r="Z193" s="5"/>
    </row>
    <row r="194" spans="25:26" x14ac:dyDescent="0.25">
      <c r="Y194" s="5"/>
      <c r="Z194" s="5"/>
    </row>
    <row r="195" spans="25:26" x14ac:dyDescent="0.25">
      <c r="Y195" s="5"/>
      <c r="Z195" s="5"/>
    </row>
    <row r="196" spans="25:26" x14ac:dyDescent="0.25">
      <c r="Y196" s="5"/>
      <c r="Z196" s="5"/>
    </row>
    <row r="197" spans="25:26" x14ac:dyDescent="0.25">
      <c r="Y197" s="5"/>
      <c r="Z197" s="5"/>
    </row>
    <row r="198" spans="25:26" x14ac:dyDescent="0.25">
      <c r="Y198" s="5"/>
      <c r="Z198" s="5"/>
    </row>
    <row r="199" spans="25:26" x14ac:dyDescent="0.25">
      <c r="Y199" s="5"/>
      <c r="Z199" s="5"/>
    </row>
    <row r="200" spans="25:26" x14ac:dyDescent="0.25">
      <c r="Y200" s="5"/>
      <c r="Z200" s="5"/>
    </row>
    <row r="201" spans="25:26" x14ac:dyDescent="0.25">
      <c r="Y201" s="5"/>
      <c r="Z201" s="5"/>
    </row>
    <row r="202" spans="25:26" x14ac:dyDescent="0.25">
      <c r="Y202" s="5"/>
      <c r="Z202" s="5"/>
    </row>
    <row r="203" spans="25:26" x14ac:dyDescent="0.25">
      <c r="Y203" s="5"/>
      <c r="Z203" s="5"/>
    </row>
    <row r="204" spans="25:26" x14ac:dyDescent="0.25">
      <c r="Y204" s="5"/>
      <c r="Z204" s="5"/>
    </row>
    <row r="205" spans="25:26" x14ac:dyDescent="0.25">
      <c r="Y205" s="5"/>
      <c r="Z205" s="5"/>
    </row>
    <row r="206" spans="25:26" x14ac:dyDescent="0.25">
      <c r="Y206" s="5"/>
      <c r="Z206" s="5"/>
    </row>
    <row r="207" spans="25:26" x14ac:dyDescent="0.25">
      <c r="Y207" s="5"/>
      <c r="Z207" s="5"/>
    </row>
    <row r="208" spans="25:26" x14ac:dyDescent="0.25">
      <c r="Y208" s="5"/>
      <c r="Z208" s="5"/>
    </row>
    <row r="209" spans="25:26" x14ac:dyDescent="0.25">
      <c r="Y209" s="5"/>
      <c r="Z209" s="5"/>
    </row>
    <row r="210" spans="25:26" x14ac:dyDescent="0.25">
      <c r="Y210" s="5"/>
      <c r="Z210" s="5"/>
    </row>
    <row r="211" spans="25:26" x14ac:dyDescent="0.25">
      <c r="Y211" s="5"/>
      <c r="Z211" s="5"/>
    </row>
    <row r="212" spans="25:26" x14ac:dyDescent="0.25">
      <c r="Y212" s="5"/>
      <c r="Z212" s="5"/>
    </row>
    <row r="213" spans="25:26" x14ac:dyDescent="0.25">
      <c r="Y213" s="5"/>
      <c r="Z213" s="5"/>
    </row>
    <row r="214" spans="25:26" x14ac:dyDescent="0.25">
      <c r="Y214" s="5"/>
      <c r="Z214" s="5"/>
    </row>
    <row r="215" spans="25:26" x14ac:dyDescent="0.25">
      <c r="Y215" s="5"/>
      <c r="Z215" s="5"/>
    </row>
    <row r="216" spans="25:26" x14ac:dyDescent="0.25">
      <c r="Y216" s="5"/>
      <c r="Z216" s="5"/>
    </row>
    <row r="217" spans="25:26" x14ac:dyDescent="0.25">
      <c r="Y217" s="5"/>
      <c r="Z217" s="5"/>
    </row>
    <row r="218" spans="25:26" x14ac:dyDescent="0.25">
      <c r="Y218" s="5"/>
      <c r="Z218" s="5"/>
    </row>
    <row r="219" spans="25:26" x14ac:dyDescent="0.25">
      <c r="Y219" s="5"/>
      <c r="Z219" s="5"/>
    </row>
    <row r="220" spans="25:26" x14ac:dyDescent="0.25">
      <c r="Y220" s="5"/>
      <c r="Z220" s="5"/>
    </row>
    <row r="221" spans="25:26" x14ac:dyDescent="0.25">
      <c r="Y221" s="5"/>
      <c r="Z221" s="5"/>
    </row>
    <row r="222" spans="25:26" x14ac:dyDescent="0.25">
      <c r="Y222" s="5"/>
      <c r="Z222" s="5"/>
    </row>
    <row r="223" spans="25:26" x14ac:dyDescent="0.25">
      <c r="Y223" s="5"/>
      <c r="Z223" s="5"/>
    </row>
    <row r="224" spans="25:26" x14ac:dyDescent="0.25">
      <c r="Y224" s="5"/>
      <c r="Z224" s="5"/>
    </row>
    <row r="225" spans="25:26" x14ac:dyDescent="0.25">
      <c r="Y225" s="5"/>
      <c r="Z225" s="5"/>
    </row>
    <row r="226" spans="25:26" x14ac:dyDescent="0.25">
      <c r="Y226" s="5"/>
      <c r="Z226" s="5"/>
    </row>
    <row r="227" spans="25:26" x14ac:dyDescent="0.25">
      <c r="Y227" s="5"/>
      <c r="Z227" s="5"/>
    </row>
    <row r="228" spans="25:26" x14ac:dyDescent="0.25">
      <c r="Y228" s="5"/>
      <c r="Z228" s="5"/>
    </row>
    <row r="229" spans="25:26" x14ac:dyDescent="0.25">
      <c r="Y229" s="5"/>
      <c r="Z229" s="5"/>
    </row>
    <row r="230" spans="25:26" x14ac:dyDescent="0.25">
      <c r="Y230" s="5"/>
      <c r="Z230" s="5"/>
    </row>
    <row r="231" spans="25:26" x14ac:dyDescent="0.25">
      <c r="Y231" s="5"/>
      <c r="Z231" s="5"/>
    </row>
    <row r="232" spans="25:26" x14ac:dyDescent="0.25">
      <c r="Y232" s="5"/>
      <c r="Z232" s="5"/>
    </row>
    <row r="233" spans="25:26" x14ac:dyDescent="0.25">
      <c r="Y233" s="5"/>
      <c r="Z233" s="5"/>
    </row>
    <row r="234" spans="25:26" x14ac:dyDescent="0.25">
      <c r="Y234" s="5"/>
      <c r="Z234" s="5"/>
    </row>
    <row r="235" spans="25:26" x14ac:dyDescent="0.25">
      <c r="Y235" s="5"/>
      <c r="Z235" s="5"/>
    </row>
    <row r="236" spans="25:26" x14ac:dyDescent="0.25">
      <c r="Y236" s="5"/>
      <c r="Z236" s="5"/>
    </row>
    <row r="237" spans="25:26" x14ac:dyDescent="0.25">
      <c r="Y237" s="5"/>
      <c r="Z237" s="5"/>
    </row>
    <row r="238" spans="25:26" x14ac:dyDescent="0.25">
      <c r="Y238" s="5"/>
      <c r="Z238" s="5"/>
    </row>
    <row r="239" spans="25:26" x14ac:dyDescent="0.25">
      <c r="Y239" s="5"/>
      <c r="Z239" s="5"/>
    </row>
    <row r="240" spans="25:26" x14ac:dyDescent="0.25">
      <c r="Y240" s="5"/>
      <c r="Z240" s="5"/>
    </row>
    <row r="241" spans="25:26" x14ac:dyDescent="0.25">
      <c r="Y241" s="5"/>
      <c r="Z241" s="5"/>
    </row>
    <row r="242" spans="25:26" x14ac:dyDescent="0.25">
      <c r="Y242" s="5"/>
      <c r="Z242" s="5"/>
    </row>
    <row r="243" spans="25:26" x14ac:dyDescent="0.25">
      <c r="Y243" s="5"/>
      <c r="Z243" s="5"/>
    </row>
    <row r="244" spans="25:26" x14ac:dyDescent="0.25">
      <c r="Y244" s="5"/>
      <c r="Z244" s="5"/>
    </row>
    <row r="245" spans="25:26" x14ac:dyDescent="0.25">
      <c r="Y245" s="5"/>
      <c r="Z245" s="5"/>
    </row>
    <row r="246" spans="25:26" x14ac:dyDescent="0.25">
      <c r="Y246" s="5"/>
      <c r="Z246" s="5"/>
    </row>
    <row r="247" spans="25:26" x14ac:dyDescent="0.25">
      <c r="Y247" s="5"/>
      <c r="Z247" s="5"/>
    </row>
    <row r="248" spans="25:26" x14ac:dyDescent="0.25">
      <c r="Y248" s="5"/>
      <c r="Z248" s="5"/>
    </row>
    <row r="249" spans="25:26" x14ac:dyDescent="0.25">
      <c r="Y249" s="5"/>
      <c r="Z249" s="5"/>
    </row>
    <row r="250" spans="25:26" x14ac:dyDescent="0.25">
      <c r="Y250" s="5"/>
      <c r="Z250" s="5"/>
    </row>
    <row r="251" spans="25:26" x14ac:dyDescent="0.25">
      <c r="Y251" s="5"/>
      <c r="Z251" s="5"/>
    </row>
    <row r="252" spans="25:26" x14ac:dyDescent="0.25">
      <c r="Y252" s="5"/>
      <c r="Z252" s="5"/>
    </row>
    <row r="253" spans="25:26" x14ac:dyDescent="0.25">
      <c r="Y253" s="5"/>
      <c r="Z253" s="5"/>
    </row>
    <row r="254" spans="25:26" x14ac:dyDescent="0.25">
      <c r="Y254" s="5"/>
      <c r="Z254" s="5"/>
    </row>
    <row r="255" spans="25:26" x14ac:dyDescent="0.25">
      <c r="Y255" s="5"/>
      <c r="Z255" s="5"/>
    </row>
    <row r="256" spans="25:26" x14ac:dyDescent="0.25">
      <c r="Y256" s="5"/>
      <c r="Z256" s="5"/>
    </row>
    <row r="257" spans="25:26" x14ac:dyDescent="0.25">
      <c r="Y257" s="5"/>
      <c r="Z257" s="5"/>
    </row>
    <row r="258" spans="25:26" x14ac:dyDescent="0.25">
      <c r="Y258" s="5"/>
      <c r="Z258" s="5"/>
    </row>
    <row r="259" spans="25:26" x14ac:dyDescent="0.25">
      <c r="Y259" s="5"/>
      <c r="Z259" s="5"/>
    </row>
    <row r="260" spans="25:26" x14ac:dyDescent="0.25">
      <c r="Y260" s="5"/>
      <c r="Z260" s="5"/>
    </row>
    <row r="261" spans="25:26" x14ac:dyDescent="0.25">
      <c r="Y261" s="5"/>
      <c r="Z261" s="5"/>
    </row>
    <row r="262" spans="25:26" x14ac:dyDescent="0.25">
      <c r="Y262" s="5"/>
      <c r="Z262" s="5"/>
    </row>
    <row r="263" spans="25:26" x14ac:dyDescent="0.25">
      <c r="Y263" s="5"/>
      <c r="Z263" s="5"/>
    </row>
    <row r="264" spans="25:26" x14ac:dyDescent="0.25">
      <c r="Y264" s="5"/>
      <c r="Z264" s="5"/>
    </row>
    <row r="265" spans="25:26" x14ac:dyDescent="0.25">
      <c r="Y265" s="5"/>
      <c r="Z265" s="5"/>
    </row>
    <row r="266" spans="25:26" x14ac:dyDescent="0.25">
      <c r="Y266" s="5"/>
      <c r="Z266" s="5"/>
    </row>
    <row r="267" spans="25:26" x14ac:dyDescent="0.25">
      <c r="Y267" s="5"/>
      <c r="Z267" s="5"/>
    </row>
    <row r="268" spans="25:26" x14ac:dyDescent="0.25">
      <c r="Y268" s="5"/>
      <c r="Z268" s="5"/>
    </row>
    <row r="269" spans="25:26" x14ac:dyDescent="0.25">
      <c r="Y269" s="5"/>
      <c r="Z269" s="5"/>
    </row>
    <row r="270" spans="25:26" x14ac:dyDescent="0.25">
      <c r="Y270" s="5"/>
      <c r="Z270" s="5"/>
    </row>
    <row r="271" spans="25:26" x14ac:dyDescent="0.25">
      <c r="Y271" s="5"/>
      <c r="Z271" s="5"/>
    </row>
    <row r="272" spans="25:26" x14ac:dyDescent="0.25">
      <c r="Y272" s="5"/>
      <c r="Z272" s="5"/>
    </row>
    <row r="273" spans="25:26" x14ac:dyDescent="0.25">
      <c r="Y273" s="5"/>
      <c r="Z273" s="5"/>
    </row>
    <row r="274" spans="25:26" x14ac:dyDescent="0.25">
      <c r="Y274" s="5"/>
      <c r="Z274" s="5"/>
    </row>
    <row r="275" spans="25:26" x14ac:dyDescent="0.25">
      <c r="Y275" s="5"/>
      <c r="Z275" s="5"/>
    </row>
    <row r="276" spans="25:26" x14ac:dyDescent="0.25">
      <c r="Y276" s="5"/>
      <c r="Z276" s="5"/>
    </row>
    <row r="277" spans="25:26" x14ac:dyDescent="0.25">
      <c r="Y277" s="5"/>
      <c r="Z277" s="5"/>
    </row>
    <row r="278" spans="25:26" x14ac:dyDescent="0.25">
      <c r="Y278" s="5"/>
      <c r="Z278" s="5"/>
    </row>
    <row r="279" spans="25:26" x14ac:dyDescent="0.25">
      <c r="Y279" s="5"/>
      <c r="Z279" s="5"/>
    </row>
    <row r="280" spans="25:26" x14ac:dyDescent="0.25">
      <c r="Y280" s="5"/>
      <c r="Z280" s="5"/>
    </row>
    <row r="281" spans="25:26" x14ac:dyDescent="0.25">
      <c r="Y281" s="5"/>
      <c r="Z281" s="5"/>
    </row>
    <row r="282" spans="25:26" x14ac:dyDescent="0.25">
      <c r="Y282" s="5"/>
      <c r="Z282" s="5"/>
    </row>
    <row r="283" spans="25:26" x14ac:dyDescent="0.25">
      <c r="Y283" s="5"/>
      <c r="Z283" s="5"/>
    </row>
    <row r="284" spans="25:26" x14ac:dyDescent="0.25">
      <c r="Y284" s="5"/>
      <c r="Z284" s="5"/>
    </row>
    <row r="285" spans="25:26" x14ac:dyDescent="0.25">
      <c r="Y285" s="5"/>
      <c r="Z285" s="5"/>
    </row>
    <row r="286" spans="25:26" x14ac:dyDescent="0.25">
      <c r="Y286" s="5"/>
      <c r="Z286" s="5"/>
    </row>
    <row r="287" spans="25:26" x14ac:dyDescent="0.25">
      <c r="Y287" s="5"/>
      <c r="Z287" s="5"/>
    </row>
    <row r="288" spans="25:26" x14ac:dyDescent="0.25">
      <c r="Y288" s="5"/>
      <c r="Z288" s="5"/>
    </row>
    <row r="289" spans="25:26" x14ac:dyDescent="0.25">
      <c r="Y289" s="5"/>
      <c r="Z289" s="5"/>
    </row>
    <row r="290" spans="25:26" x14ac:dyDescent="0.25">
      <c r="Y290" s="5"/>
      <c r="Z290" s="5"/>
    </row>
    <row r="291" spans="25:26" x14ac:dyDescent="0.25">
      <c r="Y291" s="5"/>
      <c r="Z291" s="5"/>
    </row>
    <row r="292" spans="25:26" x14ac:dyDescent="0.25">
      <c r="Y292" s="5"/>
      <c r="Z292" s="5"/>
    </row>
    <row r="293" spans="25:26" x14ac:dyDescent="0.25">
      <c r="Y293" s="5"/>
      <c r="Z293" s="5"/>
    </row>
    <row r="294" spans="25:26" x14ac:dyDescent="0.25">
      <c r="Y294" s="5"/>
      <c r="Z294" s="5"/>
    </row>
    <row r="295" spans="25:26" x14ac:dyDescent="0.25">
      <c r="Y295" s="5"/>
      <c r="Z295" s="5"/>
    </row>
    <row r="296" spans="25:26" x14ac:dyDescent="0.25">
      <c r="Y296" s="5"/>
      <c r="Z296" s="5"/>
    </row>
    <row r="297" spans="25:26" x14ac:dyDescent="0.25">
      <c r="Y297" s="5"/>
      <c r="Z297" s="5"/>
    </row>
    <row r="298" spans="25:26" x14ac:dyDescent="0.25">
      <c r="Y298" s="5"/>
      <c r="Z298" s="5"/>
    </row>
    <row r="299" spans="25:26" x14ac:dyDescent="0.25">
      <c r="Y299" s="5"/>
      <c r="Z299" s="5"/>
    </row>
    <row r="300" spans="25:26" x14ac:dyDescent="0.25">
      <c r="Y300" s="5"/>
      <c r="Z300" s="5"/>
    </row>
    <row r="301" spans="25:26" x14ac:dyDescent="0.25">
      <c r="Y301" s="5"/>
      <c r="Z301" s="5"/>
    </row>
    <row r="302" spans="25:26" x14ac:dyDescent="0.25">
      <c r="Y302" s="5"/>
      <c r="Z302" s="5"/>
    </row>
    <row r="303" spans="25:26" x14ac:dyDescent="0.25">
      <c r="Y303" s="5"/>
      <c r="Z303" s="5"/>
    </row>
    <row r="304" spans="25:26" x14ac:dyDescent="0.25">
      <c r="Y304" s="5"/>
      <c r="Z304" s="5"/>
    </row>
    <row r="305" spans="25:26" x14ac:dyDescent="0.25">
      <c r="Y305" s="5"/>
      <c r="Z305" s="5"/>
    </row>
    <row r="306" spans="25:26" x14ac:dyDescent="0.25">
      <c r="Y306" s="5"/>
      <c r="Z306" s="5"/>
    </row>
    <row r="307" spans="25:26" x14ac:dyDescent="0.25">
      <c r="Y307" s="5"/>
      <c r="Z307" s="5"/>
    </row>
    <row r="308" spans="25:26" x14ac:dyDescent="0.25">
      <c r="Y308" s="5"/>
      <c r="Z308" s="5"/>
    </row>
    <row r="309" spans="25:26" x14ac:dyDescent="0.25">
      <c r="Y309" s="5"/>
      <c r="Z309" s="5"/>
    </row>
    <row r="310" spans="25:26" x14ac:dyDescent="0.25">
      <c r="Y310" s="5"/>
      <c r="Z310" s="5"/>
    </row>
    <row r="311" spans="25:26" x14ac:dyDescent="0.25">
      <c r="Y311" s="5"/>
      <c r="Z311" s="5"/>
    </row>
    <row r="312" spans="25:26" x14ac:dyDescent="0.25">
      <c r="Y312" s="5"/>
      <c r="Z312" s="5"/>
    </row>
    <row r="313" spans="25:26" x14ac:dyDescent="0.25">
      <c r="Y313" s="5"/>
      <c r="Z313" s="5"/>
    </row>
    <row r="314" spans="25:26" x14ac:dyDescent="0.25">
      <c r="Y314" s="5"/>
      <c r="Z314" s="5"/>
    </row>
    <row r="315" spans="25:26" x14ac:dyDescent="0.25">
      <c r="Y315" s="5"/>
      <c r="Z315" s="5"/>
    </row>
    <row r="316" spans="25:26" x14ac:dyDescent="0.25">
      <c r="Y316" s="5"/>
      <c r="Z316" s="5"/>
    </row>
    <row r="317" spans="25:26" x14ac:dyDescent="0.25">
      <c r="Y317" s="5"/>
      <c r="Z317" s="5"/>
    </row>
    <row r="318" spans="25:26" x14ac:dyDescent="0.25">
      <c r="Y318" s="5"/>
      <c r="Z318" s="5"/>
    </row>
    <row r="319" spans="25:26" x14ac:dyDescent="0.25">
      <c r="Y319" s="5"/>
      <c r="Z319" s="5"/>
    </row>
    <row r="320" spans="25:26" x14ac:dyDescent="0.25">
      <c r="Y320" s="5"/>
      <c r="Z320" s="5"/>
    </row>
    <row r="321" spans="25:26" x14ac:dyDescent="0.25">
      <c r="Y321" s="5"/>
      <c r="Z321" s="5"/>
    </row>
    <row r="322" spans="25:26" x14ac:dyDescent="0.25">
      <c r="Y322" s="5"/>
      <c r="Z322" s="5"/>
    </row>
    <row r="323" spans="25:26" x14ac:dyDescent="0.25">
      <c r="Y323" s="5"/>
      <c r="Z323" s="5"/>
    </row>
    <row r="324" spans="25:26" x14ac:dyDescent="0.25">
      <c r="Y324" s="5"/>
      <c r="Z324" s="5"/>
    </row>
    <row r="325" spans="25:26" x14ac:dyDescent="0.25">
      <c r="Y325" s="5"/>
      <c r="Z325" s="5"/>
    </row>
    <row r="326" spans="25:26" x14ac:dyDescent="0.25">
      <c r="Y326" s="5"/>
      <c r="Z326" s="5"/>
    </row>
    <row r="327" spans="25:26" x14ac:dyDescent="0.25">
      <c r="Y327" s="5"/>
      <c r="Z327" s="5"/>
    </row>
    <row r="328" spans="25:26" x14ac:dyDescent="0.25">
      <c r="Y328" s="5"/>
      <c r="Z328" s="5"/>
    </row>
    <row r="329" spans="25:26" x14ac:dyDescent="0.25">
      <c r="Y329" s="5"/>
      <c r="Z329" s="5"/>
    </row>
    <row r="330" spans="25:26" x14ac:dyDescent="0.25">
      <c r="Y330" s="5"/>
      <c r="Z330" s="5"/>
    </row>
    <row r="331" spans="25:26" x14ac:dyDescent="0.25">
      <c r="Y331" s="5"/>
      <c r="Z331" s="5"/>
    </row>
    <row r="332" spans="25:26" x14ac:dyDescent="0.25">
      <c r="Y332" s="5"/>
      <c r="Z332" s="5"/>
    </row>
    <row r="333" spans="25:26" x14ac:dyDescent="0.25">
      <c r="Y333" s="5"/>
      <c r="Z333" s="5"/>
    </row>
    <row r="334" spans="25:26" x14ac:dyDescent="0.25">
      <c r="Y334" s="5"/>
      <c r="Z334" s="5"/>
    </row>
    <row r="335" spans="25:26" x14ac:dyDescent="0.25">
      <c r="Y335" s="5"/>
      <c r="Z335" s="5"/>
    </row>
    <row r="336" spans="25:26" x14ac:dyDescent="0.25">
      <c r="Y336" s="5"/>
      <c r="Z336" s="5"/>
    </row>
    <row r="337" spans="25:26" x14ac:dyDescent="0.25">
      <c r="Y337" s="5"/>
      <c r="Z337" s="5"/>
    </row>
    <row r="338" spans="25:26" x14ac:dyDescent="0.25">
      <c r="Y338" s="5"/>
      <c r="Z338" s="5"/>
    </row>
    <row r="339" spans="25:26" x14ac:dyDescent="0.25">
      <c r="Y339" s="5"/>
      <c r="Z339" s="5"/>
    </row>
    <row r="340" spans="25:26" x14ac:dyDescent="0.25">
      <c r="Y340" s="5"/>
      <c r="Z340" s="5"/>
    </row>
    <row r="341" spans="25:26" x14ac:dyDescent="0.25">
      <c r="Y341" s="5"/>
      <c r="Z341" s="5"/>
    </row>
    <row r="342" spans="25:26" x14ac:dyDescent="0.25">
      <c r="Y342" s="5"/>
      <c r="Z342" s="5"/>
    </row>
    <row r="343" spans="25:26" x14ac:dyDescent="0.25">
      <c r="Y343" s="5"/>
      <c r="Z343" s="5"/>
    </row>
    <row r="344" spans="25:26" x14ac:dyDescent="0.25">
      <c r="Y344" s="5"/>
      <c r="Z344" s="5"/>
    </row>
    <row r="345" spans="25:26" x14ac:dyDescent="0.25">
      <c r="Y345" s="5"/>
      <c r="Z345" s="5"/>
    </row>
    <row r="346" spans="25:26" x14ac:dyDescent="0.25">
      <c r="Y346" s="5"/>
      <c r="Z346" s="5"/>
    </row>
    <row r="347" spans="25:26" x14ac:dyDescent="0.25">
      <c r="Y347" s="5"/>
      <c r="Z347" s="5"/>
    </row>
    <row r="348" spans="25:26" x14ac:dyDescent="0.25">
      <c r="Y348" s="5"/>
      <c r="Z348" s="5"/>
    </row>
    <row r="349" spans="25:26" x14ac:dyDescent="0.25">
      <c r="Y349" s="5"/>
      <c r="Z349" s="5"/>
    </row>
    <row r="350" spans="25:26" x14ac:dyDescent="0.25">
      <c r="Y350" s="5"/>
      <c r="Z350" s="5"/>
    </row>
    <row r="351" spans="25:26" x14ac:dyDescent="0.25">
      <c r="Y351" s="5"/>
      <c r="Z351" s="5"/>
    </row>
    <row r="352" spans="25:26" x14ac:dyDescent="0.25">
      <c r="Y352" s="5"/>
      <c r="Z352" s="5"/>
    </row>
    <row r="353" spans="25:26" x14ac:dyDescent="0.25">
      <c r="Y353" s="5"/>
      <c r="Z353" s="5"/>
    </row>
    <row r="354" spans="25:26" x14ac:dyDescent="0.25">
      <c r="Y354" s="5"/>
      <c r="Z354" s="5"/>
    </row>
    <row r="355" spans="25:26" x14ac:dyDescent="0.25">
      <c r="Y355" s="5"/>
      <c r="Z355" s="5"/>
    </row>
    <row r="356" spans="25:26" x14ac:dyDescent="0.25">
      <c r="Y356" s="5"/>
      <c r="Z356" s="5"/>
    </row>
    <row r="357" spans="25:26" x14ac:dyDescent="0.25">
      <c r="Y357" s="5"/>
      <c r="Z357" s="5"/>
    </row>
    <row r="358" spans="25:26" x14ac:dyDescent="0.25">
      <c r="Y358" s="5"/>
      <c r="Z358" s="5"/>
    </row>
    <row r="359" spans="25:26" x14ac:dyDescent="0.25">
      <c r="Y359" s="5"/>
      <c r="Z359" s="5"/>
    </row>
    <row r="360" spans="25:26" x14ac:dyDescent="0.25">
      <c r="Y360" s="5"/>
      <c r="Z360" s="5"/>
    </row>
    <row r="361" spans="25:26" x14ac:dyDescent="0.25">
      <c r="Y361" s="5"/>
      <c r="Z361" s="5"/>
    </row>
    <row r="362" spans="25:26" x14ac:dyDescent="0.25">
      <c r="Y362" s="5"/>
      <c r="Z362" s="5"/>
    </row>
    <row r="363" spans="25:26" x14ac:dyDescent="0.25">
      <c r="Y363" s="5"/>
      <c r="Z363" s="5"/>
    </row>
    <row r="364" spans="25:26" x14ac:dyDescent="0.25">
      <c r="Y364" s="5"/>
      <c r="Z364" s="5"/>
    </row>
    <row r="365" spans="25:26" x14ac:dyDescent="0.25">
      <c r="Y365" s="5"/>
      <c r="Z365" s="5"/>
    </row>
    <row r="366" spans="25:26" x14ac:dyDescent="0.25">
      <c r="Y366" s="5"/>
      <c r="Z366" s="5"/>
    </row>
    <row r="367" spans="25:26" x14ac:dyDescent="0.25">
      <c r="Y367" s="5"/>
      <c r="Z367" s="5"/>
    </row>
    <row r="368" spans="25:26" x14ac:dyDescent="0.25">
      <c r="Y368" s="5"/>
      <c r="Z368" s="5"/>
    </row>
    <row r="369" spans="25:26" x14ac:dyDescent="0.25">
      <c r="Y369" s="5"/>
      <c r="Z369" s="5"/>
    </row>
    <row r="370" spans="25:26" x14ac:dyDescent="0.25">
      <c r="Y370" s="5"/>
      <c r="Z370" s="5"/>
    </row>
    <row r="371" spans="25:26" x14ac:dyDescent="0.25">
      <c r="Y371" s="5"/>
      <c r="Z371" s="5"/>
    </row>
    <row r="372" spans="25:26" x14ac:dyDescent="0.25">
      <c r="Y372" s="5"/>
      <c r="Z372" s="5"/>
    </row>
    <row r="373" spans="25:26" x14ac:dyDescent="0.25">
      <c r="Y373" s="5"/>
      <c r="Z373" s="5"/>
    </row>
    <row r="374" spans="25:26" x14ac:dyDescent="0.25">
      <c r="Y374" s="5"/>
      <c r="Z374" s="5"/>
    </row>
    <row r="375" spans="25:26" x14ac:dyDescent="0.25">
      <c r="Y375" s="5"/>
      <c r="Z375" s="5"/>
    </row>
    <row r="376" spans="25:26" x14ac:dyDescent="0.25">
      <c r="Y376" s="5"/>
      <c r="Z376" s="5"/>
    </row>
    <row r="377" spans="25:26" x14ac:dyDescent="0.25">
      <c r="Y377" s="5"/>
      <c r="Z377" s="5"/>
    </row>
    <row r="378" spans="25:26" x14ac:dyDescent="0.25">
      <c r="Y378" s="5"/>
      <c r="Z378" s="5"/>
    </row>
    <row r="379" spans="25:26" x14ac:dyDescent="0.25">
      <c r="Y379" s="5"/>
      <c r="Z379" s="5"/>
    </row>
    <row r="380" spans="25:26" x14ac:dyDescent="0.25">
      <c r="Y380" s="5"/>
      <c r="Z380" s="5"/>
    </row>
    <row r="381" spans="25:26" x14ac:dyDescent="0.25">
      <c r="Y381" s="5"/>
      <c r="Z381" s="5"/>
    </row>
    <row r="382" spans="25:26" x14ac:dyDescent="0.25">
      <c r="Y382" s="5"/>
      <c r="Z382" s="5"/>
    </row>
    <row r="383" spans="25:26" x14ac:dyDescent="0.25">
      <c r="Y383" s="5"/>
      <c r="Z383" s="5"/>
    </row>
    <row r="384" spans="25:26" x14ac:dyDescent="0.25">
      <c r="Y384" s="5"/>
      <c r="Z384" s="5"/>
    </row>
    <row r="385" spans="25:26" x14ac:dyDescent="0.25">
      <c r="Y385" s="5"/>
      <c r="Z385" s="5"/>
    </row>
    <row r="386" spans="25:26" x14ac:dyDescent="0.25">
      <c r="Y386" s="5"/>
      <c r="Z386" s="5"/>
    </row>
    <row r="387" spans="25:26" x14ac:dyDescent="0.25">
      <c r="Y387" s="5"/>
      <c r="Z387" s="5"/>
    </row>
    <row r="388" spans="25:26" x14ac:dyDescent="0.25">
      <c r="Y388" s="5"/>
      <c r="Z388" s="5"/>
    </row>
    <row r="389" spans="25:26" x14ac:dyDescent="0.25">
      <c r="Y389" s="5"/>
      <c r="Z389" s="5"/>
    </row>
    <row r="390" spans="25:26" x14ac:dyDescent="0.25">
      <c r="Y390" s="5"/>
      <c r="Z390" s="5"/>
    </row>
    <row r="391" spans="25:26" x14ac:dyDescent="0.25">
      <c r="Y391" s="5"/>
      <c r="Z391" s="5"/>
    </row>
    <row r="392" spans="25:26" x14ac:dyDescent="0.25">
      <c r="Y392" s="5"/>
      <c r="Z392" s="5"/>
    </row>
    <row r="393" spans="25:26" x14ac:dyDescent="0.25">
      <c r="Y393" s="5"/>
      <c r="Z393" s="5"/>
    </row>
    <row r="394" spans="25:26" x14ac:dyDescent="0.25">
      <c r="Y394" s="5"/>
      <c r="Z394" s="5"/>
    </row>
    <row r="395" spans="25:26" x14ac:dyDescent="0.25">
      <c r="Y395" s="5"/>
      <c r="Z395" s="5"/>
    </row>
    <row r="396" spans="25:26" x14ac:dyDescent="0.25">
      <c r="Y396" s="5"/>
      <c r="Z396" s="5"/>
    </row>
    <row r="397" spans="25:26" x14ac:dyDescent="0.25">
      <c r="Y397" s="5"/>
      <c r="Z397" s="5"/>
    </row>
    <row r="398" spans="25:26" x14ac:dyDescent="0.25">
      <c r="Y398" s="5"/>
      <c r="Z398" s="5"/>
    </row>
    <row r="399" spans="25:26" x14ac:dyDescent="0.25">
      <c r="Y399" s="5"/>
      <c r="Z399" s="5"/>
    </row>
    <row r="400" spans="25:26" x14ac:dyDescent="0.25">
      <c r="Y400" s="5"/>
      <c r="Z400" s="5"/>
    </row>
    <row r="401" spans="25:26" x14ac:dyDescent="0.25">
      <c r="Y401" s="5"/>
      <c r="Z401" s="5"/>
    </row>
    <row r="402" spans="25:26" x14ac:dyDescent="0.25">
      <c r="Y402" s="5"/>
      <c r="Z402" s="5"/>
    </row>
    <row r="403" spans="25:26" x14ac:dyDescent="0.25">
      <c r="Y403" s="5"/>
      <c r="Z403" s="5"/>
    </row>
    <row r="404" spans="25:26" x14ac:dyDescent="0.25">
      <c r="Y404" s="5"/>
      <c r="Z404" s="5"/>
    </row>
    <row r="405" spans="25:26" x14ac:dyDescent="0.25">
      <c r="Y405" s="5"/>
      <c r="Z405" s="5"/>
    </row>
    <row r="406" spans="25:26" x14ac:dyDescent="0.25">
      <c r="Y406" s="5"/>
      <c r="Z406" s="5"/>
    </row>
    <row r="407" spans="25:26" x14ac:dyDescent="0.25">
      <c r="Y407" s="5"/>
      <c r="Z407" s="5"/>
    </row>
    <row r="408" spans="25:26" x14ac:dyDescent="0.25">
      <c r="Y408" s="5"/>
      <c r="Z408" s="5"/>
    </row>
    <row r="409" spans="25:26" x14ac:dyDescent="0.25">
      <c r="Y409" s="5"/>
      <c r="Z409" s="5"/>
    </row>
    <row r="410" spans="25:26" x14ac:dyDescent="0.25">
      <c r="Y410" s="5"/>
      <c r="Z410" s="5"/>
    </row>
    <row r="411" spans="25:26" x14ac:dyDescent="0.25">
      <c r="Y411" s="5"/>
      <c r="Z411" s="5"/>
    </row>
    <row r="412" spans="25:26" x14ac:dyDescent="0.25">
      <c r="Y412" s="5"/>
      <c r="Z412" s="5"/>
    </row>
    <row r="413" spans="25:26" x14ac:dyDescent="0.25">
      <c r="Y413" s="5"/>
      <c r="Z413" s="5"/>
    </row>
    <row r="414" spans="25:26" x14ac:dyDescent="0.25">
      <c r="Y414" s="5"/>
      <c r="Z414" s="5"/>
    </row>
    <row r="415" spans="25:26" x14ac:dyDescent="0.25">
      <c r="Y415" s="5"/>
      <c r="Z415" s="5"/>
    </row>
    <row r="416" spans="25:26" x14ac:dyDescent="0.25">
      <c r="Y416" s="5"/>
      <c r="Z416" s="5"/>
    </row>
    <row r="417" spans="25:26" x14ac:dyDescent="0.25">
      <c r="Y417" s="5"/>
      <c r="Z417" s="5"/>
    </row>
    <row r="418" spans="25:26" x14ac:dyDescent="0.25">
      <c r="Y418" s="5"/>
      <c r="Z418" s="5"/>
    </row>
    <row r="419" spans="25:26" x14ac:dyDescent="0.25">
      <c r="Y419" s="5"/>
      <c r="Z419" s="5"/>
    </row>
    <row r="420" spans="25:26" x14ac:dyDescent="0.25">
      <c r="Y420" s="5"/>
      <c r="Z420" s="5"/>
    </row>
    <row r="421" spans="25:26" x14ac:dyDescent="0.25">
      <c r="Y421" s="5"/>
      <c r="Z421" s="5"/>
    </row>
    <row r="422" spans="25:26" x14ac:dyDescent="0.25">
      <c r="Y422" s="5"/>
      <c r="Z422" s="5"/>
    </row>
    <row r="423" spans="25:26" x14ac:dyDescent="0.25">
      <c r="Y423" s="5"/>
      <c r="Z423" s="5"/>
    </row>
    <row r="424" spans="25:26" x14ac:dyDescent="0.25">
      <c r="Y424" s="5"/>
      <c r="Z424" s="5"/>
    </row>
    <row r="425" spans="25:26" x14ac:dyDescent="0.25">
      <c r="Y425" s="5"/>
      <c r="Z425" s="5"/>
    </row>
    <row r="426" spans="25:26" x14ac:dyDescent="0.25">
      <c r="Y426" s="5"/>
      <c r="Z426" s="5"/>
    </row>
    <row r="427" spans="25:26" x14ac:dyDescent="0.25">
      <c r="Y427" s="5"/>
      <c r="Z427" s="5"/>
    </row>
    <row r="428" spans="25:26" x14ac:dyDescent="0.25">
      <c r="Y428" s="5"/>
      <c r="Z428" s="5"/>
    </row>
    <row r="429" spans="25:26" x14ac:dyDescent="0.25">
      <c r="Y429" s="5"/>
      <c r="Z429" s="5"/>
    </row>
    <row r="430" spans="25:26" x14ac:dyDescent="0.25">
      <c r="Y430" s="5"/>
      <c r="Z430" s="5"/>
    </row>
    <row r="431" spans="25:26" x14ac:dyDescent="0.25">
      <c r="Y431" s="5"/>
      <c r="Z431" s="5"/>
    </row>
    <row r="432" spans="25:26" x14ac:dyDescent="0.25">
      <c r="Y432" s="5"/>
      <c r="Z432" s="5"/>
    </row>
    <row r="433" spans="25:26" x14ac:dyDescent="0.25">
      <c r="Y433" s="5"/>
      <c r="Z433" s="5"/>
    </row>
    <row r="434" spans="25:26" x14ac:dyDescent="0.25">
      <c r="Y434" s="5"/>
      <c r="Z434" s="5"/>
    </row>
    <row r="435" spans="25:26" x14ac:dyDescent="0.25">
      <c r="Y435" s="5"/>
      <c r="Z435" s="5"/>
    </row>
    <row r="436" spans="25:26" x14ac:dyDescent="0.25">
      <c r="Y436" s="5"/>
      <c r="Z436" s="5"/>
    </row>
    <row r="437" spans="25:26" x14ac:dyDescent="0.25">
      <c r="Y437" s="5"/>
      <c r="Z437" s="5"/>
    </row>
    <row r="438" spans="25:26" x14ac:dyDescent="0.25">
      <c r="Y438" s="5"/>
      <c r="Z438" s="5"/>
    </row>
    <row r="439" spans="25:26" x14ac:dyDescent="0.25">
      <c r="Y439" s="5"/>
      <c r="Z439" s="5"/>
    </row>
    <row r="440" spans="25:26" x14ac:dyDescent="0.25">
      <c r="Y440" s="5"/>
      <c r="Z440" s="5"/>
    </row>
    <row r="441" spans="25:26" x14ac:dyDescent="0.25">
      <c r="Y441" s="5"/>
      <c r="Z441" s="5"/>
    </row>
    <row r="442" spans="25:26" x14ac:dyDescent="0.25">
      <c r="Y442" s="5"/>
      <c r="Z442" s="5"/>
    </row>
    <row r="443" spans="25:26" x14ac:dyDescent="0.25">
      <c r="Y443" s="5"/>
      <c r="Z443" s="5"/>
    </row>
    <row r="444" spans="25:26" x14ac:dyDescent="0.25">
      <c r="Y444" s="5"/>
      <c r="Z444" s="5"/>
    </row>
    <row r="445" spans="25:26" x14ac:dyDescent="0.25">
      <c r="Y445" s="5"/>
      <c r="Z445" s="5"/>
    </row>
    <row r="446" spans="25:26" x14ac:dyDescent="0.25">
      <c r="Y446" s="5"/>
      <c r="Z446" s="5"/>
    </row>
    <row r="447" spans="25:26" x14ac:dyDescent="0.25">
      <c r="Y447" s="5"/>
      <c r="Z447" s="5"/>
    </row>
    <row r="448" spans="25:26" x14ac:dyDescent="0.25">
      <c r="Y448" s="5"/>
      <c r="Z448" s="5"/>
    </row>
    <row r="449" spans="25:26" x14ac:dyDescent="0.25">
      <c r="Y449" s="5"/>
      <c r="Z449" s="5"/>
    </row>
    <row r="450" spans="25:26" x14ac:dyDescent="0.25">
      <c r="Y450" s="5"/>
      <c r="Z450" s="5"/>
    </row>
    <row r="451" spans="25:26" x14ac:dyDescent="0.25">
      <c r="Y451" s="5"/>
      <c r="Z451" s="5"/>
    </row>
    <row r="452" spans="25:26" x14ac:dyDescent="0.25">
      <c r="Y452" s="5"/>
      <c r="Z452" s="5"/>
    </row>
    <row r="453" spans="25:26" x14ac:dyDescent="0.25">
      <c r="Y453" s="5"/>
      <c r="Z453" s="5"/>
    </row>
    <row r="454" spans="25:26" x14ac:dyDescent="0.25">
      <c r="Y454" s="5"/>
      <c r="Z454" s="5"/>
    </row>
    <row r="455" spans="25:26" x14ac:dyDescent="0.25">
      <c r="Y455" s="5"/>
      <c r="Z455" s="5"/>
    </row>
    <row r="456" spans="25:26" x14ac:dyDescent="0.25">
      <c r="Y456" s="5"/>
      <c r="Z456" s="5"/>
    </row>
    <row r="457" spans="25:26" x14ac:dyDescent="0.25">
      <c r="Y457" s="5"/>
      <c r="Z457" s="5"/>
    </row>
    <row r="458" spans="25:26" x14ac:dyDescent="0.25">
      <c r="Y458" s="5"/>
      <c r="Z458" s="5"/>
    </row>
    <row r="459" spans="25:26" x14ac:dyDescent="0.25">
      <c r="Y459" s="5"/>
      <c r="Z459" s="5"/>
    </row>
    <row r="460" spans="25:26" x14ac:dyDescent="0.25">
      <c r="Y460" s="5"/>
      <c r="Z460" s="5"/>
    </row>
    <row r="461" spans="25:26" x14ac:dyDescent="0.25">
      <c r="Y461" s="5"/>
      <c r="Z461" s="5"/>
    </row>
    <row r="462" spans="25:26" x14ac:dyDescent="0.25">
      <c r="Y462" s="5"/>
      <c r="Z462" s="5"/>
    </row>
    <row r="463" spans="25:26" x14ac:dyDescent="0.25">
      <c r="Y463" s="5"/>
      <c r="Z463" s="5"/>
    </row>
    <row r="464" spans="25:26" x14ac:dyDescent="0.25">
      <c r="Y464" s="5"/>
      <c r="Z464" s="5"/>
    </row>
    <row r="465" spans="25:26" x14ac:dyDescent="0.25">
      <c r="Y465" s="5"/>
      <c r="Z465" s="5"/>
    </row>
    <row r="466" spans="25:26" x14ac:dyDescent="0.25">
      <c r="Y466" s="5"/>
      <c r="Z466" s="5"/>
    </row>
    <row r="467" spans="25:26" x14ac:dyDescent="0.25">
      <c r="Y467" s="5"/>
      <c r="Z467" s="5"/>
    </row>
    <row r="468" spans="25:26" x14ac:dyDescent="0.25">
      <c r="Y468" s="5"/>
      <c r="Z468" s="5"/>
    </row>
    <row r="469" spans="25:26" x14ac:dyDescent="0.25">
      <c r="Y469" s="5"/>
      <c r="Z469" s="5"/>
    </row>
    <row r="470" spans="25:26" x14ac:dyDescent="0.25">
      <c r="Y470" s="5"/>
      <c r="Z470" s="5"/>
    </row>
    <row r="471" spans="25:26" x14ac:dyDescent="0.25">
      <c r="Y471" s="5"/>
      <c r="Z471" s="5"/>
    </row>
    <row r="472" spans="25:26" x14ac:dyDescent="0.25">
      <c r="Y472" s="5"/>
      <c r="Z472" s="5"/>
    </row>
    <row r="473" spans="25:26" x14ac:dyDescent="0.25">
      <c r="Y473" s="5"/>
      <c r="Z473" s="5"/>
    </row>
    <row r="474" spans="25:26" x14ac:dyDescent="0.25">
      <c r="Y474" s="5"/>
      <c r="Z474" s="5"/>
    </row>
    <row r="475" spans="25:26" x14ac:dyDescent="0.25">
      <c r="Y475" s="5"/>
      <c r="Z475" s="5"/>
    </row>
    <row r="476" spans="25:26" x14ac:dyDescent="0.25">
      <c r="Y476" s="5"/>
      <c r="Z476" s="5"/>
    </row>
    <row r="477" spans="25:26" x14ac:dyDescent="0.25">
      <c r="Y477" s="5"/>
      <c r="Z477" s="5"/>
    </row>
    <row r="478" spans="25:26" x14ac:dyDescent="0.25">
      <c r="Y478" s="5"/>
      <c r="Z478" s="5"/>
    </row>
    <row r="479" spans="25:26" x14ac:dyDescent="0.25">
      <c r="Y479" s="5"/>
      <c r="Z479" s="5"/>
    </row>
    <row r="480" spans="25:26" x14ac:dyDescent="0.25">
      <c r="Y480" s="5"/>
      <c r="Z480" s="5"/>
    </row>
    <row r="481" spans="25:26" x14ac:dyDescent="0.25">
      <c r="Y481" s="5"/>
      <c r="Z481" s="5"/>
    </row>
    <row r="482" spans="25:26" x14ac:dyDescent="0.25">
      <c r="Y482" s="5"/>
      <c r="Z482" s="5"/>
    </row>
    <row r="483" spans="25:26" x14ac:dyDescent="0.25">
      <c r="Y483" s="5"/>
      <c r="Z483" s="5"/>
    </row>
    <row r="484" spans="25:26" x14ac:dyDescent="0.25">
      <c r="Y484" s="5"/>
      <c r="Z484" s="5"/>
    </row>
    <row r="485" spans="25:26" x14ac:dyDescent="0.25">
      <c r="Y485" s="5"/>
      <c r="Z485" s="5"/>
    </row>
    <row r="486" spans="25:26" x14ac:dyDescent="0.25">
      <c r="Y486" s="5"/>
      <c r="Z486" s="5"/>
    </row>
    <row r="487" spans="25:26" x14ac:dyDescent="0.25">
      <c r="Y487" s="5"/>
      <c r="Z487" s="5"/>
    </row>
    <row r="488" spans="25:26" x14ac:dyDescent="0.25">
      <c r="Y488" s="5"/>
      <c r="Z488" s="5"/>
    </row>
    <row r="489" spans="25:26" x14ac:dyDescent="0.25">
      <c r="Y489" s="5"/>
      <c r="Z489" s="5"/>
    </row>
    <row r="490" spans="25:26" x14ac:dyDescent="0.25">
      <c r="Y490" s="5"/>
      <c r="Z490" s="5"/>
    </row>
    <row r="491" spans="25:26" x14ac:dyDescent="0.25">
      <c r="Y491" s="5"/>
      <c r="Z491" s="5"/>
    </row>
    <row r="492" spans="25:26" x14ac:dyDescent="0.25">
      <c r="Y492" s="5"/>
      <c r="Z492" s="5"/>
    </row>
    <row r="493" spans="25:26" x14ac:dyDescent="0.25">
      <c r="Y493" s="5"/>
      <c r="Z493" s="5"/>
    </row>
    <row r="494" spans="25:26" x14ac:dyDescent="0.25">
      <c r="Y494" s="5"/>
      <c r="Z494" s="5"/>
    </row>
    <row r="495" spans="25:26" x14ac:dyDescent="0.25">
      <c r="Y495" s="5"/>
      <c r="Z495" s="5"/>
    </row>
    <row r="496" spans="25:26" x14ac:dyDescent="0.25">
      <c r="Y496" s="5"/>
      <c r="Z496" s="5"/>
    </row>
    <row r="497" spans="25:26" x14ac:dyDescent="0.25">
      <c r="Y497" s="5"/>
      <c r="Z497" s="5"/>
    </row>
    <row r="498" spans="25:26" x14ac:dyDescent="0.25">
      <c r="Y498" s="5"/>
      <c r="Z498" s="5"/>
    </row>
    <row r="499" spans="25:26" x14ac:dyDescent="0.25">
      <c r="Y499" s="5"/>
      <c r="Z499" s="5"/>
    </row>
    <row r="500" spans="25:26" x14ac:dyDescent="0.25">
      <c r="Y500" s="5"/>
      <c r="Z500" s="5"/>
    </row>
    <row r="501" spans="25:26" x14ac:dyDescent="0.25">
      <c r="Y501" s="5"/>
      <c r="Z501" s="5"/>
    </row>
    <row r="502" spans="25:26" x14ac:dyDescent="0.25">
      <c r="Y502" s="5"/>
      <c r="Z502" s="5"/>
    </row>
    <row r="503" spans="25:26" x14ac:dyDescent="0.25">
      <c r="Y503" s="5"/>
      <c r="Z503" s="5"/>
    </row>
    <row r="504" spans="25:26" x14ac:dyDescent="0.25">
      <c r="Y504" s="5"/>
      <c r="Z504" s="5"/>
    </row>
    <row r="505" spans="25:26" x14ac:dyDescent="0.25">
      <c r="Y505" s="5"/>
      <c r="Z505" s="5"/>
    </row>
    <row r="506" spans="25:26" x14ac:dyDescent="0.25">
      <c r="Y506" s="5"/>
      <c r="Z506" s="5"/>
    </row>
    <row r="507" spans="25:26" x14ac:dyDescent="0.25">
      <c r="Y507" s="5"/>
      <c r="Z507" s="5"/>
    </row>
    <row r="508" spans="25:26" x14ac:dyDescent="0.25">
      <c r="Y508" s="5"/>
      <c r="Z508" s="5"/>
    </row>
    <row r="509" spans="25:26" x14ac:dyDescent="0.25">
      <c r="Y509" s="5"/>
      <c r="Z509" s="5"/>
    </row>
    <row r="510" spans="25:26" x14ac:dyDescent="0.25">
      <c r="Y510" s="5"/>
      <c r="Z510" s="5"/>
    </row>
    <row r="511" spans="25:26" x14ac:dyDescent="0.25">
      <c r="Y511" s="5"/>
      <c r="Z511" s="5"/>
    </row>
    <row r="512" spans="25:26" x14ac:dyDescent="0.25">
      <c r="Y512" s="5"/>
      <c r="Z512" s="5"/>
    </row>
    <row r="513" spans="25:26" x14ac:dyDescent="0.25">
      <c r="Y513" s="5"/>
      <c r="Z513" s="5"/>
    </row>
    <row r="514" spans="25:26" x14ac:dyDescent="0.25">
      <c r="Y514" s="5"/>
      <c r="Z514" s="5"/>
    </row>
    <row r="515" spans="25:26" x14ac:dyDescent="0.25">
      <c r="Y515" s="5"/>
      <c r="Z515" s="5"/>
    </row>
    <row r="516" spans="25:26" x14ac:dyDescent="0.25">
      <c r="Y516" s="5"/>
      <c r="Z516" s="5"/>
    </row>
    <row r="517" spans="25:26" x14ac:dyDescent="0.25">
      <c r="Y517" s="5"/>
      <c r="Z517" s="5"/>
    </row>
    <row r="518" spans="25:26" x14ac:dyDescent="0.25">
      <c r="Y518" s="5"/>
      <c r="Z518" s="5"/>
    </row>
    <row r="519" spans="25:26" x14ac:dyDescent="0.25">
      <c r="Y519" s="5"/>
      <c r="Z519" s="5"/>
    </row>
    <row r="520" spans="25:26" x14ac:dyDescent="0.25">
      <c r="Y520" s="5"/>
      <c r="Z520" s="5"/>
    </row>
    <row r="521" spans="25:26" x14ac:dyDescent="0.25">
      <c r="Y521" s="5"/>
      <c r="Z521" s="5"/>
    </row>
    <row r="522" spans="25:26" x14ac:dyDescent="0.25">
      <c r="Y522" s="5"/>
      <c r="Z522" s="5"/>
    </row>
    <row r="523" spans="25:26" x14ac:dyDescent="0.25">
      <c r="Y523" s="5"/>
      <c r="Z523" s="5"/>
    </row>
    <row r="524" spans="25:26" x14ac:dyDescent="0.25">
      <c r="Y524" s="5"/>
      <c r="Z524" s="5"/>
    </row>
    <row r="525" spans="25:26" x14ac:dyDescent="0.25">
      <c r="Y525" s="5"/>
      <c r="Z525" s="5"/>
    </row>
    <row r="526" spans="25:26" x14ac:dyDescent="0.25">
      <c r="Y526" s="5"/>
      <c r="Z526" s="5"/>
    </row>
    <row r="527" spans="25:26" x14ac:dyDescent="0.25">
      <c r="Y527" s="5"/>
      <c r="Z527" s="5"/>
    </row>
    <row r="528" spans="25:26" x14ac:dyDescent="0.25">
      <c r="Y528" s="5"/>
      <c r="Z528" s="5"/>
    </row>
    <row r="529" spans="25:26" x14ac:dyDescent="0.25">
      <c r="Y529" s="5"/>
      <c r="Z529" s="5"/>
    </row>
    <row r="530" spans="25:26" x14ac:dyDescent="0.25">
      <c r="Y530" s="5"/>
      <c r="Z530" s="5"/>
    </row>
    <row r="531" spans="25:26" x14ac:dyDescent="0.25">
      <c r="Y531" s="5"/>
      <c r="Z531" s="5"/>
    </row>
    <row r="532" spans="25:26" x14ac:dyDescent="0.25">
      <c r="Y532" s="5"/>
      <c r="Z532" s="5"/>
    </row>
    <row r="533" spans="25:26" x14ac:dyDescent="0.25">
      <c r="Y533" s="5"/>
      <c r="Z533" s="5"/>
    </row>
    <row r="534" spans="25:26" x14ac:dyDescent="0.25">
      <c r="Y534" s="5"/>
      <c r="Z534" s="5"/>
    </row>
    <row r="535" spans="25:26" x14ac:dyDescent="0.25">
      <c r="Y535" s="5"/>
      <c r="Z535" s="5"/>
    </row>
    <row r="536" spans="25:26" x14ac:dyDescent="0.25">
      <c r="Y536" s="5"/>
      <c r="Z536" s="5"/>
    </row>
    <row r="537" spans="25:26" x14ac:dyDescent="0.25">
      <c r="Y537" s="5"/>
      <c r="Z537" s="5"/>
    </row>
    <row r="538" spans="25:26" x14ac:dyDescent="0.25">
      <c r="Y538" s="5"/>
      <c r="Z538" s="5"/>
    </row>
    <row r="539" spans="25:26" x14ac:dyDescent="0.25">
      <c r="Y539" s="5"/>
      <c r="Z539" s="5"/>
    </row>
    <row r="540" spans="25:26" x14ac:dyDescent="0.25">
      <c r="Y540" s="5"/>
      <c r="Z540" s="5"/>
    </row>
    <row r="541" spans="25:26" x14ac:dyDescent="0.25">
      <c r="Y541" s="5"/>
      <c r="Z541" s="5"/>
    </row>
    <row r="542" spans="25:26" x14ac:dyDescent="0.25">
      <c r="Y542" s="5"/>
      <c r="Z542" s="5"/>
    </row>
    <row r="543" spans="25:26" x14ac:dyDescent="0.25">
      <c r="Y543" s="5"/>
      <c r="Z543" s="5"/>
    </row>
    <row r="544" spans="25:26" x14ac:dyDescent="0.25">
      <c r="Y544" s="5"/>
      <c r="Z544" s="5"/>
    </row>
    <row r="545" spans="25:26" x14ac:dyDescent="0.25">
      <c r="Y545" s="5"/>
      <c r="Z545" s="5"/>
    </row>
    <row r="546" spans="25:26" x14ac:dyDescent="0.25">
      <c r="Y546" s="5"/>
      <c r="Z546" s="5"/>
    </row>
    <row r="547" spans="25:26" x14ac:dyDescent="0.25">
      <c r="Y547" s="5"/>
      <c r="Z547" s="5"/>
    </row>
    <row r="548" spans="25:26" x14ac:dyDescent="0.25">
      <c r="Y548" s="5"/>
      <c r="Z548" s="5"/>
    </row>
    <row r="549" spans="25:26" x14ac:dyDescent="0.25">
      <c r="Y549" s="5"/>
      <c r="Z549" s="5"/>
    </row>
    <row r="550" spans="25:26" x14ac:dyDescent="0.25">
      <c r="Y550" s="5"/>
      <c r="Z550" s="5"/>
    </row>
    <row r="551" spans="25:26" x14ac:dyDescent="0.25">
      <c r="Y551" s="5"/>
      <c r="Z551" s="5"/>
    </row>
    <row r="552" spans="25:26" x14ac:dyDescent="0.25">
      <c r="Y552" s="5"/>
      <c r="Z552" s="5"/>
    </row>
    <row r="553" spans="25:26" x14ac:dyDescent="0.25">
      <c r="Y553" s="5"/>
      <c r="Z553" s="5"/>
    </row>
    <row r="554" spans="25:26" x14ac:dyDescent="0.25">
      <c r="Y554" s="5"/>
      <c r="Z554" s="5"/>
    </row>
    <row r="555" spans="25:26" x14ac:dyDescent="0.25">
      <c r="Y555" s="5"/>
      <c r="Z555" s="5"/>
    </row>
    <row r="556" spans="25:26" x14ac:dyDescent="0.25">
      <c r="Y556" s="5"/>
      <c r="Z556" s="5"/>
    </row>
    <row r="557" spans="25:26" x14ac:dyDescent="0.25">
      <c r="Y557" s="5"/>
      <c r="Z557" s="5"/>
    </row>
    <row r="558" spans="25:26" x14ac:dyDescent="0.25">
      <c r="Y558" s="5"/>
      <c r="Z558" s="5"/>
    </row>
    <row r="559" spans="25:26" x14ac:dyDescent="0.25">
      <c r="Y559" s="5"/>
      <c r="Z559" s="5"/>
    </row>
    <row r="560" spans="25:26" x14ac:dyDescent="0.25">
      <c r="Y560" s="5"/>
      <c r="Z560" s="5"/>
    </row>
    <row r="561" spans="25:26" x14ac:dyDescent="0.25">
      <c r="Y561" s="5"/>
      <c r="Z561" s="5"/>
    </row>
    <row r="562" spans="25:26" x14ac:dyDescent="0.25">
      <c r="Y562" s="5"/>
      <c r="Z562" s="5"/>
    </row>
    <row r="563" spans="25:26" x14ac:dyDescent="0.25">
      <c r="Y563" s="5"/>
      <c r="Z563" s="5"/>
    </row>
    <row r="564" spans="25:26" x14ac:dyDescent="0.25">
      <c r="Y564" s="5"/>
      <c r="Z564" s="5"/>
    </row>
    <row r="565" spans="25:26" x14ac:dyDescent="0.25">
      <c r="Y565" s="5"/>
      <c r="Z565" s="5"/>
    </row>
    <row r="566" spans="25:26" x14ac:dyDescent="0.25">
      <c r="Y566" s="5"/>
      <c r="Z566" s="5"/>
    </row>
    <row r="567" spans="25:26" x14ac:dyDescent="0.25">
      <c r="Y567" s="5"/>
      <c r="Z567" s="5"/>
    </row>
    <row r="568" spans="25:26" x14ac:dyDescent="0.25">
      <c r="Y568" s="5"/>
      <c r="Z568" s="5"/>
    </row>
    <row r="569" spans="25:26" x14ac:dyDescent="0.25">
      <c r="Y569" s="5"/>
      <c r="Z569" s="5"/>
    </row>
    <row r="570" spans="25:26" x14ac:dyDescent="0.25">
      <c r="Y570" s="5"/>
      <c r="Z570" s="5"/>
    </row>
    <row r="571" spans="25:26" x14ac:dyDescent="0.25">
      <c r="Y571" s="5"/>
      <c r="Z571" s="5"/>
    </row>
    <row r="572" spans="25:26" x14ac:dyDescent="0.25">
      <c r="Y572" s="5"/>
      <c r="Z572" s="5"/>
    </row>
    <row r="573" spans="25:26" x14ac:dyDescent="0.25">
      <c r="Y573" s="5"/>
      <c r="Z573" s="5"/>
    </row>
    <row r="574" spans="25:26" x14ac:dyDescent="0.25">
      <c r="Y574" s="5"/>
      <c r="Z574" s="5"/>
    </row>
    <row r="575" spans="25:26" x14ac:dyDescent="0.25">
      <c r="Y575" s="5"/>
      <c r="Z575" s="5"/>
    </row>
    <row r="576" spans="25:26" x14ac:dyDescent="0.25">
      <c r="Y576" s="5"/>
      <c r="Z576" s="5"/>
    </row>
    <row r="577" spans="25:26" x14ac:dyDescent="0.25">
      <c r="Y577" s="5"/>
      <c r="Z577" s="5"/>
    </row>
    <row r="578" spans="25:26" x14ac:dyDescent="0.25">
      <c r="Y578" s="5"/>
      <c r="Z578" s="5"/>
    </row>
    <row r="579" spans="25:26" x14ac:dyDescent="0.25">
      <c r="Y579" s="5"/>
      <c r="Z579" s="5"/>
    </row>
    <row r="580" spans="25:26" x14ac:dyDescent="0.25">
      <c r="Y580" s="5"/>
      <c r="Z580" s="5"/>
    </row>
    <row r="581" spans="25:26" x14ac:dyDescent="0.25">
      <c r="Y581" s="5"/>
      <c r="Z581" s="5"/>
    </row>
    <row r="582" spans="25:26" x14ac:dyDescent="0.25">
      <c r="Y582" s="5"/>
      <c r="Z582" s="5"/>
    </row>
    <row r="583" spans="25:26" x14ac:dyDescent="0.25">
      <c r="Y583" s="5"/>
      <c r="Z583" s="5"/>
    </row>
    <row r="584" spans="25:26" x14ac:dyDescent="0.25">
      <c r="Y584" s="5"/>
      <c r="Z584" s="5"/>
    </row>
    <row r="585" spans="25:26" x14ac:dyDescent="0.25">
      <c r="Y585" s="5"/>
      <c r="Z585" s="5"/>
    </row>
    <row r="586" spans="25:26" x14ac:dyDescent="0.25">
      <c r="Y586" s="5"/>
      <c r="Z586" s="5"/>
    </row>
    <row r="587" spans="25:26" x14ac:dyDescent="0.25">
      <c r="Y587" s="5"/>
      <c r="Z587" s="5"/>
    </row>
    <row r="588" spans="25:26" x14ac:dyDescent="0.25">
      <c r="Y588" s="5"/>
      <c r="Z588" s="5"/>
    </row>
    <row r="589" spans="25:26" x14ac:dyDescent="0.25">
      <c r="Y589" s="5"/>
      <c r="Z589" s="5"/>
    </row>
    <row r="590" spans="25:26" x14ac:dyDescent="0.25">
      <c r="Y590" s="5"/>
      <c r="Z590" s="5"/>
    </row>
    <row r="591" spans="25:26" x14ac:dyDescent="0.25">
      <c r="Y591" s="5"/>
      <c r="Z591" s="5"/>
    </row>
    <row r="592" spans="25:26" x14ac:dyDescent="0.25">
      <c r="Y592" s="5"/>
      <c r="Z592" s="5"/>
    </row>
    <row r="593" spans="25:26" x14ac:dyDescent="0.25">
      <c r="Y593" s="5"/>
      <c r="Z593" s="5"/>
    </row>
    <row r="594" spans="25:26" x14ac:dyDescent="0.25">
      <c r="Y594" s="5"/>
      <c r="Z594" s="5"/>
    </row>
    <row r="595" spans="25:26" x14ac:dyDescent="0.25">
      <c r="Y595" s="5"/>
      <c r="Z595" s="5"/>
    </row>
    <row r="596" spans="25:26" x14ac:dyDescent="0.25">
      <c r="Y596" s="5"/>
      <c r="Z596" s="5"/>
    </row>
    <row r="597" spans="25:26" x14ac:dyDescent="0.25">
      <c r="Y597" s="5"/>
      <c r="Z597" s="5"/>
    </row>
    <row r="598" spans="25:26" x14ac:dyDescent="0.25">
      <c r="Y598" s="5"/>
      <c r="Z598" s="5"/>
    </row>
    <row r="599" spans="25:26" x14ac:dyDescent="0.25">
      <c r="Y599" s="5"/>
      <c r="Z599" s="5"/>
    </row>
    <row r="600" spans="25:26" x14ac:dyDescent="0.25">
      <c r="Y600" s="5"/>
      <c r="Z600" s="5"/>
    </row>
    <row r="601" spans="25:26" x14ac:dyDescent="0.25">
      <c r="Y601" s="5"/>
      <c r="Z601" s="5"/>
    </row>
    <row r="602" spans="25:26" x14ac:dyDescent="0.25">
      <c r="Y602" s="5"/>
      <c r="Z602" s="5"/>
    </row>
    <row r="603" spans="25:26" x14ac:dyDescent="0.25">
      <c r="Y603" s="5"/>
      <c r="Z603" s="5"/>
    </row>
    <row r="604" spans="25:26" x14ac:dyDescent="0.25">
      <c r="Y604" s="5"/>
      <c r="Z604" s="5"/>
    </row>
    <row r="605" spans="25:26" x14ac:dyDescent="0.25">
      <c r="Y605" s="5"/>
      <c r="Z605" s="5"/>
    </row>
    <row r="606" spans="25:26" x14ac:dyDescent="0.25">
      <c r="Y606" s="5"/>
      <c r="Z606" s="5"/>
    </row>
    <row r="607" spans="25:26" x14ac:dyDescent="0.25">
      <c r="Y607" s="5"/>
      <c r="Z607" s="5"/>
    </row>
    <row r="608" spans="25:26" x14ac:dyDescent="0.25">
      <c r="Y608" s="5"/>
      <c r="Z608" s="5"/>
    </row>
    <row r="609" spans="25:26" x14ac:dyDescent="0.25">
      <c r="Y609" s="5"/>
      <c r="Z609" s="5"/>
    </row>
    <row r="610" spans="25:26" x14ac:dyDescent="0.25">
      <c r="Y610" s="5"/>
      <c r="Z610" s="5"/>
    </row>
    <row r="611" spans="25:26" x14ac:dyDescent="0.25">
      <c r="Y611" s="5"/>
      <c r="Z611" s="5"/>
    </row>
    <row r="612" spans="25:26" x14ac:dyDescent="0.25">
      <c r="Y612" s="5"/>
      <c r="Z612" s="5"/>
    </row>
    <row r="613" spans="25:26" x14ac:dyDescent="0.25">
      <c r="Y613" s="5"/>
      <c r="Z613" s="5"/>
    </row>
    <row r="614" spans="25:26" x14ac:dyDescent="0.25">
      <c r="Y614" s="5"/>
      <c r="Z614" s="5"/>
    </row>
    <row r="615" spans="25:26" x14ac:dyDescent="0.25">
      <c r="Y615" s="5"/>
      <c r="Z615" s="5"/>
    </row>
    <row r="616" spans="25:26" x14ac:dyDescent="0.25">
      <c r="Y616" s="5"/>
      <c r="Z616" s="5"/>
    </row>
    <row r="617" spans="25:26" x14ac:dyDescent="0.25">
      <c r="Y617" s="5"/>
      <c r="Z617" s="5"/>
    </row>
    <row r="618" spans="25:26" x14ac:dyDescent="0.25">
      <c r="Y618" s="5"/>
      <c r="Z618" s="5"/>
    </row>
    <row r="619" spans="25:26" x14ac:dyDescent="0.25">
      <c r="Y619" s="5"/>
      <c r="Z619" s="5"/>
    </row>
    <row r="620" spans="25:26" x14ac:dyDescent="0.25">
      <c r="Y620" s="5"/>
      <c r="Z620" s="5"/>
    </row>
    <row r="621" spans="25:26" x14ac:dyDescent="0.25">
      <c r="Y621" s="5"/>
      <c r="Z621" s="5"/>
    </row>
    <row r="622" spans="25:26" x14ac:dyDescent="0.25">
      <c r="Y622" s="5"/>
      <c r="Z622" s="5"/>
    </row>
    <row r="623" spans="25:26" x14ac:dyDescent="0.25">
      <c r="Y623" s="5"/>
      <c r="Z623" s="5"/>
    </row>
    <row r="624" spans="25:26" x14ac:dyDescent="0.25">
      <c r="Y624" s="5"/>
      <c r="Z624" s="5"/>
    </row>
    <row r="625" spans="25:26" x14ac:dyDescent="0.25">
      <c r="Y625" s="5"/>
      <c r="Z625" s="5"/>
    </row>
    <row r="626" spans="25:26" x14ac:dyDescent="0.25">
      <c r="Y626" s="5"/>
      <c r="Z626" s="5"/>
    </row>
    <row r="627" spans="25:26" x14ac:dyDescent="0.25">
      <c r="Y627" s="5"/>
      <c r="Z627" s="5"/>
    </row>
    <row r="628" spans="25:26" x14ac:dyDescent="0.25">
      <c r="Y628" s="5"/>
      <c r="Z628" s="5"/>
    </row>
    <row r="629" spans="25:26" x14ac:dyDescent="0.25">
      <c r="Y629" s="5"/>
      <c r="Z629" s="5"/>
    </row>
    <row r="630" spans="25:26" x14ac:dyDescent="0.25">
      <c r="Y630" s="5"/>
      <c r="Z630" s="5"/>
    </row>
    <row r="631" spans="25:26" x14ac:dyDescent="0.25">
      <c r="Y631" s="5"/>
      <c r="Z631" s="5"/>
    </row>
    <row r="632" spans="25:26" x14ac:dyDescent="0.25">
      <c r="Y632" s="5"/>
      <c r="Z632" s="5"/>
    </row>
    <row r="633" spans="25:26" x14ac:dyDescent="0.25">
      <c r="Y633" s="5"/>
      <c r="Z633" s="5"/>
    </row>
    <row r="634" spans="25:26" x14ac:dyDescent="0.25">
      <c r="Y634" s="5"/>
      <c r="Z634" s="5"/>
    </row>
    <row r="635" spans="25:26" x14ac:dyDescent="0.25">
      <c r="Y635" s="5"/>
      <c r="Z635" s="5"/>
    </row>
    <row r="636" spans="25:26" x14ac:dyDescent="0.25">
      <c r="Y636" s="5"/>
      <c r="Z636" s="5"/>
    </row>
    <row r="637" spans="25:26" x14ac:dyDescent="0.25">
      <c r="Y637" s="5"/>
      <c r="Z637" s="5"/>
    </row>
    <row r="638" spans="25:26" x14ac:dyDescent="0.25">
      <c r="Y638" s="5"/>
      <c r="Z638" s="5"/>
    </row>
    <row r="639" spans="25:26" x14ac:dyDescent="0.25">
      <c r="Y639" s="5"/>
      <c r="Z639" s="5"/>
    </row>
    <row r="640" spans="25:26" x14ac:dyDescent="0.25">
      <c r="Y640" s="5"/>
      <c r="Z640" s="5"/>
    </row>
    <row r="641" spans="25:26" x14ac:dyDescent="0.25">
      <c r="Y641" s="5"/>
      <c r="Z641" s="5"/>
    </row>
    <row r="642" spans="25:26" x14ac:dyDescent="0.25">
      <c r="Y642" s="5"/>
      <c r="Z642" s="5"/>
    </row>
    <row r="643" spans="25:26" x14ac:dyDescent="0.25">
      <c r="Y643" s="5"/>
      <c r="Z643" s="5"/>
    </row>
    <row r="644" spans="25:26" x14ac:dyDescent="0.25">
      <c r="Y644" s="5"/>
      <c r="Z644" s="5"/>
    </row>
    <row r="645" spans="25:26" x14ac:dyDescent="0.25">
      <c r="Y645" s="5"/>
      <c r="Z645" s="5"/>
    </row>
    <row r="646" spans="25:26" x14ac:dyDescent="0.25">
      <c r="Y646" s="5"/>
      <c r="Z646" s="5"/>
    </row>
    <row r="647" spans="25:26" x14ac:dyDescent="0.25">
      <c r="Y647" s="5"/>
      <c r="Z647" s="5"/>
    </row>
    <row r="648" spans="25:26" x14ac:dyDescent="0.25">
      <c r="Y648" s="5"/>
      <c r="Z648" s="5"/>
    </row>
    <row r="649" spans="25:26" x14ac:dyDescent="0.25">
      <c r="Y649" s="5"/>
      <c r="Z649" s="5"/>
    </row>
    <row r="650" spans="25:26" x14ac:dyDescent="0.25">
      <c r="Y650" s="5"/>
      <c r="Z650" s="5"/>
    </row>
    <row r="651" spans="25:26" x14ac:dyDescent="0.25">
      <c r="Y651" s="5"/>
      <c r="Z651" s="5"/>
    </row>
    <row r="652" spans="25:26" x14ac:dyDescent="0.25">
      <c r="Y652" s="5"/>
      <c r="Z652" s="5"/>
    </row>
    <row r="653" spans="25:26" x14ac:dyDescent="0.25">
      <c r="Y653" s="5"/>
      <c r="Z653" s="5"/>
    </row>
    <row r="654" spans="25:26" x14ac:dyDescent="0.25">
      <c r="Y654" s="5"/>
      <c r="Z654" s="5"/>
    </row>
    <row r="655" spans="25:26" x14ac:dyDescent="0.25">
      <c r="Y655" s="5"/>
      <c r="Z655" s="5"/>
    </row>
    <row r="656" spans="25:26" x14ac:dyDescent="0.25">
      <c r="Y656" s="5"/>
      <c r="Z656" s="5"/>
    </row>
    <row r="657" spans="25:26" x14ac:dyDescent="0.25">
      <c r="Y657" s="5"/>
      <c r="Z657" s="5"/>
    </row>
    <row r="658" spans="25:26" x14ac:dyDescent="0.25">
      <c r="Y658" s="5"/>
      <c r="Z658" s="5"/>
    </row>
    <row r="659" spans="25:26" x14ac:dyDescent="0.25">
      <c r="Y659" s="5"/>
      <c r="Z659" s="5"/>
    </row>
    <row r="660" spans="25:26" x14ac:dyDescent="0.25">
      <c r="Y660" s="5"/>
      <c r="Z660" s="5"/>
    </row>
    <row r="661" spans="25:26" x14ac:dyDescent="0.25">
      <c r="Y661" s="5"/>
      <c r="Z661" s="5"/>
    </row>
    <row r="662" spans="25:26" x14ac:dyDescent="0.25">
      <c r="Y662" s="5"/>
      <c r="Z662" s="5"/>
    </row>
    <row r="663" spans="25:26" x14ac:dyDescent="0.25">
      <c r="Y663" s="5"/>
      <c r="Z663" s="5"/>
    </row>
    <row r="664" spans="25:26" x14ac:dyDescent="0.25">
      <c r="Y664" s="5"/>
      <c r="Z664" s="5"/>
    </row>
    <row r="665" spans="25:26" x14ac:dyDescent="0.25">
      <c r="Y665" s="5"/>
      <c r="Z665" s="5"/>
    </row>
    <row r="666" spans="25:26" x14ac:dyDescent="0.25">
      <c r="Y666" s="5"/>
      <c r="Z666" s="5"/>
    </row>
    <row r="667" spans="25:26" x14ac:dyDescent="0.25">
      <c r="Y667" s="5"/>
      <c r="Z667" s="5"/>
    </row>
    <row r="668" spans="25:26" x14ac:dyDescent="0.25">
      <c r="Y668" s="5"/>
      <c r="Z668" s="5"/>
    </row>
    <row r="669" spans="25:26" x14ac:dyDescent="0.25">
      <c r="Y669" s="5"/>
      <c r="Z669" s="5"/>
    </row>
    <row r="670" spans="25:26" x14ac:dyDescent="0.25">
      <c r="Y670" s="5"/>
      <c r="Z670" s="5"/>
    </row>
    <row r="671" spans="25:26" x14ac:dyDescent="0.25">
      <c r="Y671" s="5"/>
      <c r="Z671" s="5"/>
    </row>
    <row r="672" spans="25:26" x14ac:dyDescent="0.25">
      <c r="Y672" s="5"/>
      <c r="Z672" s="5"/>
    </row>
    <row r="673" spans="25:26" x14ac:dyDescent="0.25">
      <c r="Y673" s="5"/>
      <c r="Z673" s="5"/>
    </row>
    <row r="674" spans="25:26" x14ac:dyDescent="0.25">
      <c r="Y674" s="5"/>
      <c r="Z674" s="5"/>
    </row>
    <row r="675" spans="25:26" x14ac:dyDescent="0.25">
      <c r="Y675" s="5"/>
      <c r="Z675" s="5"/>
    </row>
    <row r="676" spans="25:26" x14ac:dyDescent="0.25">
      <c r="Y676" s="5"/>
      <c r="Z676" s="5"/>
    </row>
    <row r="677" spans="25:26" x14ac:dyDescent="0.25">
      <c r="Y677" s="5"/>
      <c r="Z677" s="5"/>
    </row>
    <row r="678" spans="25:26" x14ac:dyDescent="0.25">
      <c r="Y678" s="5"/>
      <c r="Z678" s="5"/>
    </row>
    <row r="679" spans="25:26" x14ac:dyDescent="0.25">
      <c r="Y679" s="5"/>
      <c r="Z679" s="5"/>
    </row>
    <row r="680" spans="25:26" x14ac:dyDescent="0.25">
      <c r="Y680" s="5"/>
      <c r="Z680" s="5"/>
    </row>
    <row r="681" spans="25:26" x14ac:dyDescent="0.25">
      <c r="Y681" s="5"/>
      <c r="Z681" s="5"/>
    </row>
    <row r="682" spans="25:26" x14ac:dyDescent="0.25">
      <c r="Y682" s="5"/>
      <c r="Z682" s="5"/>
    </row>
    <row r="683" spans="25:26" x14ac:dyDescent="0.25">
      <c r="Y683" s="5"/>
      <c r="Z683" s="5"/>
    </row>
    <row r="684" spans="25:26" x14ac:dyDescent="0.25">
      <c r="Y684" s="5"/>
      <c r="Z684" s="5"/>
    </row>
    <row r="685" spans="25:26" x14ac:dyDescent="0.25">
      <c r="Y685" s="5"/>
      <c r="Z685" s="5"/>
    </row>
    <row r="686" spans="25:26" x14ac:dyDescent="0.25">
      <c r="Y686" s="5"/>
      <c r="Z686" s="5"/>
    </row>
    <row r="687" spans="25:26" x14ac:dyDescent="0.25">
      <c r="Y687" s="5"/>
      <c r="Z687" s="5"/>
    </row>
    <row r="688" spans="25:26" x14ac:dyDescent="0.25">
      <c r="Y688" s="5"/>
      <c r="Z688" s="5"/>
    </row>
    <row r="689" spans="25:26" x14ac:dyDescent="0.25">
      <c r="Y689" s="5"/>
      <c r="Z689" s="5"/>
    </row>
    <row r="690" spans="25:26" x14ac:dyDescent="0.25">
      <c r="Y690" s="5"/>
      <c r="Z690" s="5"/>
    </row>
    <row r="691" spans="25:26" x14ac:dyDescent="0.25">
      <c r="Y691" s="5"/>
      <c r="Z691" s="5"/>
    </row>
    <row r="692" spans="25:26" x14ac:dyDescent="0.25">
      <c r="Y692" s="5"/>
      <c r="Z692" s="5"/>
    </row>
    <row r="693" spans="25:26" x14ac:dyDescent="0.25">
      <c r="Y693" s="5"/>
      <c r="Z693" s="5"/>
    </row>
    <row r="694" spans="25:26" x14ac:dyDescent="0.25">
      <c r="Y694" s="5"/>
      <c r="Z694" s="5"/>
    </row>
    <row r="695" spans="25:26" x14ac:dyDescent="0.25">
      <c r="Y695" s="5"/>
      <c r="Z695" s="5"/>
    </row>
    <row r="696" spans="25:26" x14ac:dyDescent="0.25">
      <c r="Y696" s="5"/>
      <c r="Z696" s="5"/>
    </row>
    <row r="697" spans="25:26" x14ac:dyDescent="0.25">
      <c r="Y697" s="5"/>
      <c r="Z697" s="5"/>
    </row>
    <row r="698" spans="25:26" x14ac:dyDescent="0.25">
      <c r="Y698" s="5"/>
      <c r="Z698" s="5"/>
    </row>
    <row r="699" spans="25:26" x14ac:dyDescent="0.25">
      <c r="Y699" s="5"/>
      <c r="Z699" s="5"/>
    </row>
    <row r="700" spans="25:26" x14ac:dyDescent="0.25">
      <c r="Y700" s="5"/>
      <c r="Z700" s="5"/>
    </row>
    <row r="701" spans="25:26" x14ac:dyDescent="0.25">
      <c r="Y701" s="5"/>
      <c r="Z701" s="5"/>
    </row>
    <row r="702" spans="25:26" x14ac:dyDescent="0.25">
      <c r="Y702" s="5"/>
      <c r="Z702" s="5"/>
    </row>
    <row r="703" spans="25:26" x14ac:dyDescent="0.25">
      <c r="Y703" s="5"/>
      <c r="Z703" s="5"/>
    </row>
    <row r="704" spans="25:26" x14ac:dyDescent="0.25">
      <c r="Y704" s="5"/>
      <c r="Z704" s="5"/>
    </row>
    <row r="705" spans="25:26" x14ac:dyDescent="0.25">
      <c r="Y705" s="5"/>
      <c r="Z705" s="5"/>
    </row>
    <row r="706" spans="25:26" x14ac:dyDescent="0.25">
      <c r="Y706" s="5"/>
      <c r="Z706" s="5"/>
    </row>
    <row r="707" spans="25:26" x14ac:dyDescent="0.25">
      <c r="Y707" s="5"/>
      <c r="Z707" s="5"/>
    </row>
    <row r="708" spans="25:26" x14ac:dyDescent="0.25">
      <c r="Y708" s="5"/>
      <c r="Z708" s="5"/>
    </row>
    <row r="709" spans="25:26" x14ac:dyDescent="0.25">
      <c r="Y709" s="5"/>
      <c r="Z709" s="5"/>
    </row>
    <row r="710" spans="25:26" x14ac:dyDescent="0.25">
      <c r="Y710" s="5"/>
      <c r="Z710" s="5"/>
    </row>
    <row r="711" spans="25:26" x14ac:dyDescent="0.25">
      <c r="Y711" s="5"/>
      <c r="Z711" s="5"/>
    </row>
    <row r="712" spans="25:26" x14ac:dyDescent="0.25">
      <c r="Y712" s="5"/>
      <c r="Z712" s="5"/>
    </row>
    <row r="713" spans="25:26" x14ac:dyDescent="0.25">
      <c r="Y713" s="5"/>
      <c r="Z713" s="5"/>
    </row>
    <row r="714" spans="25:26" x14ac:dyDescent="0.25">
      <c r="Y714" s="5"/>
      <c r="Z714" s="5"/>
    </row>
    <row r="715" spans="25:26" x14ac:dyDescent="0.25">
      <c r="Y715" s="5"/>
      <c r="Z715" s="5"/>
    </row>
    <row r="716" spans="25:26" x14ac:dyDescent="0.25">
      <c r="Y716" s="5"/>
      <c r="Z716" s="5"/>
    </row>
    <row r="717" spans="25:26" x14ac:dyDescent="0.25">
      <c r="Y717" s="5"/>
      <c r="Z717" s="5"/>
    </row>
    <row r="718" spans="25:26" x14ac:dyDescent="0.25">
      <c r="Y718" s="5"/>
      <c r="Z718" s="5"/>
    </row>
    <row r="719" spans="25:26" x14ac:dyDescent="0.25">
      <c r="Y719" s="5"/>
      <c r="Z719" s="5"/>
    </row>
    <row r="720" spans="25:26" x14ac:dyDescent="0.25">
      <c r="Y720" s="5"/>
      <c r="Z720" s="5"/>
    </row>
    <row r="721" spans="25:26" x14ac:dyDescent="0.25">
      <c r="Y721" s="5"/>
      <c r="Z721" s="5"/>
    </row>
    <row r="722" spans="25:26" x14ac:dyDescent="0.25">
      <c r="Y722" s="5"/>
      <c r="Z722" s="5"/>
    </row>
    <row r="723" spans="25:26" x14ac:dyDescent="0.25">
      <c r="Y723" s="5"/>
      <c r="Z723" s="5"/>
    </row>
    <row r="724" spans="25:26" x14ac:dyDescent="0.25">
      <c r="Y724" s="5"/>
      <c r="Z724" s="5"/>
    </row>
    <row r="725" spans="25:26" x14ac:dyDescent="0.25">
      <c r="Y725" s="5"/>
      <c r="Z725" s="5"/>
    </row>
    <row r="726" spans="25:26" x14ac:dyDescent="0.25">
      <c r="Y726" s="5"/>
      <c r="Z726" s="5"/>
    </row>
    <row r="727" spans="25:26" x14ac:dyDescent="0.25">
      <c r="Y727" s="5"/>
      <c r="Z727" s="5"/>
    </row>
    <row r="728" spans="25:26" x14ac:dyDescent="0.25">
      <c r="Y728" s="5"/>
      <c r="Z728" s="5"/>
    </row>
    <row r="729" spans="25:26" x14ac:dyDescent="0.25">
      <c r="Y729" s="5"/>
      <c r="Z729" s="5"/>
    </row>
    <row r="730" spans="25:26" x14ac:dyDescent="0.25">
      <c r="Y730" s="5"/>
      <c r="Z730" s="5"/>
    </row>
    <row r="731" spans="25:26" x14ac:dyDescent="0.25">
      <c r="Y731" s="5"/>
      <c r="Z731" s="5"/>
    </row>
    <row r="732" spans="25:26" x14ac:dyDescent="0.25">
      <c r="Y732" s="5"/>
      <c r="Z732" s="5"/>
    </row>
    <row r="733" spans="25:26" x14ac:dyDescent="0.25">
      <c r="Y733" s="5"/>
      <c r="Z733" s="5"/>
    </row>
    <row r="734" spans="25:26" x14ac:dyDescent="0.25">
      <c r="Y734" s="5"/>
      <c r="Z734" s="5"/>
    </row>
    <row r="735" spans="25:26" x14ac:dyDescent="0.25">
      <c r="Y735" s="5"/>
      <c r="Z735" s="5"/>
    </row>
    <row r="736" spans="25:26" x14ac:dyDescent="0.25">
      <c r="Y736" s="5"/>
      <c r="Z736" s="5"/>
    </row>
    <row r="737" spans="25:26" x14ac:dyDescent="0.25">
      <c r="Y737" s="5"/>
      <c r="Z737" s="5"/>
    </row>
    <row r="738" spans="25:26" x14ac:dyDescent="0.25">
      <c r="Y738" s="5"/>
      <c r="Z738" s="5"/>
    </row>
    <row r="739" spans="25:26" x14ac:dyDescent="0.25">
      <c r="Y739" s="5"/>
      <c r="Z739" s="5"/>
    </row>
    <row r="740" spans="25:26" x14ac:dyDescent="0.25">
      <c r="Y740" s="5"/>
      <c r="Z740" s="5"/>
    </row>
    <row r="741" spans="25:26" x14ac:dyDescent="0.25">
      <c r="Y741" s="5"/>
      <c r="Z741" s="5"/>
    </row>
    <row r="742" spans="25:26" x14ac:dyDescent="0.25">
      <c r="Y742" s="5"/>
      <c r="Z742" s="5"/>
    </row>
    <row r="743" spans="25:26" x14ac:dyDescent="0.25">
      <c r="Y743" s="5"/>
      <c r="Z743" s="5"/>
    </row>
    <row r="744" spans="25:26" x14ac:dyDescent="0.25">
      <c r="Y744" s="5"/>
      <c r="Z744" s="5"/>
    </row>
    <row r="745" spans="25:26" x14ac:dyDescent="0.25">
      <c r="Y745" s="5"/>
      <c r="Z745" s="5"/>
    </row>
    <row r="746" spans="25:26" x14ac:dyDescent="0.25">
      <c r="Y746" s="5"/>
      <c r="Z746" s="5"/>
    </row>
    <row r="747" spans="25:26" x14ac:dyDescent="0.25">
      <c r="Y747" s="5"/>
      <c r="Z747" s="5"/>
    </row>
    <row r="748" spans="25:26" x14ac:dyDescent="0.25">
      <c r="Y748" s="5"/>
      <c r="Z748" s="5"/>
    </row>
    <row r="749" spans="25:26" x14ac:dyDescent="0.25">
      <c r="Y749" s="5"/>
      <c r="Z749" s="5"/>
    </row>
    <row r="750" spans="25:26" x14ac:dyDescent="0.25">
      <c r="Y750" s="5"/>
      <c r="Z750" s="5"/>
    </row>
    <row r="751" spans="25:26" x14ac:dyDescent="0.25">
      <c r="Y751" s="5"/>
      <c r="Z751" s="5"/>
    </row>
    <row r="752" spans="25:26" x14ac:dyDescent="0.25">
      <c r="Y752" s="5"/>
      <c r="Z752" s="5"/>
    </row>
    <row r="753" spans="25:26" x14ac:dyDescent="0.25">
      <c r="Y753" s="5"/>
      <c r="Z753" s="5"/>
    </row>
    <row r="754" spans="25:26" x14ac:dyDescent="0.25">
      <c r="Y754" s="5"/>
      <c r="Z754" s="5"/>
    </row>
    <row r="755" spans="25:26" x14ac:dyDescent="0.25">
      <c r="Y755" s="5"/>
      <c r="Z755" s="5"/>
    </row>
    <row r="756" spans="25:26" x14ac:dyDescent="0.25">
      <c r="Y756" s="5"/>
      <c r="Z756" s="5"/>
    </row>
    <row r="757" spans="25:26" x14ac:dyDescent="0.25">
      <c r="Y757" s="5"/>
      <c r="Z757" s="5"/>
    </row>
    <row r="758" spans="25:26" x14ac:dyDescent="0.25">
      <c r="Y758" s="5"/>
      <c r="Z758" s="5"/>
    </row>
    <row r="759" spans="25:26" x14ac:dyDescent="0.25">
      <c r="Y759" s="5"/>
      <c r="Z759" s="5"/>
    </row>
    <row r="760" spans="25:26" x14ac:dyDescent="0.25">
      <c r="Y760" s="5"/>
      <c r="Z760" s="5"/>
    </row>
    <row r="761" spans="25:26" x14ac:dyDescent="0.25">
      <c r="Y761" s="5"/>
      <c r="Z761" s="5"/>
    </row>
    <row r="762" spans="25:26" x14ac:dyDescent="0.25">
      <c r="Y762" s="5"/>
      <c r="Z762" s="5"/>
    </row>
    <row r="763" spans="25:26" x14ac:dyDescent="0.25">
      <c r="Y763" s="5"/>
      <c r="Z763" s="5"/>
    </row>
    <row r="764" spans="25:26" x14ac:dyDescent="0.25">
      <c r="Y764" s="5"/>
      <c r="Z764" s="5"/>
    </row>
    <row r="765" spans="25:26" x14ac:dyDescent="0.25">
      <c r="Y765" s="5"/>
      <c r="Z765" s="5"/>
    </row>
    <row r="766" spans="25:26" x14ac:dyDescent="0.25">
      <c r="Y766" s="5"/>
      <c r="Z766" s="5"/>
    </row>
    <row r="767" spans="25:26" x14ac:dyDescent="0.25">
      <c r="Y767" s="5"/>
      <c r="Z767" s="5"/>
    </row>
    <row r="768" spans="25:26" x14ac:dyDescent="0.25">
      <c r="Y768" s="5"/>
      <c r="Z768" s="5"/>
    </row>
    <row r="769" spans="25:26" x14ac:dyDescent="0.25">
      <c r="Y769" s="5"/>
      <c r="Z769" s="5"/>
    </row>
    <row r="770" spans="25:26" x14ac:dyDescent="0.25">
      <c r="Y770" s="5"/>
      <c r="Z770" s="5"/>
    </row>
    <row r="771" spans="25:26" x14ac:dyDescent="0.25">
      <c r="Y771" s="5"/>
      <c r="Z771" s="5"/>
    </row>
    <row r="772" spans="25:26" x14ac:dyDescent="0.25">
      <c r="Y772" s="5"/>
      <c r="Z772" s="5"/>
    </row>
    <row r="773" spans="25:26" x14ac:dyDescent="0.25">
      <c r="Y773" s="5"/>
      <c r="Z773" s="5"/>
    </row>
    <row r="774" spans="25:26" x14ac:dyDescent="0.25">
      <c r="Y774" s="5"/>
      <c r="Z774" s="5"/>
    </row>
    <row r="775" spans="25:26" x14ac:dyDescent="0.25">
      <c r="Y775" s="5"/>
      <c r="Z775" s="5"/>
    </row>
    <row r="776" spans="25:26" x14ac:dyDescent="0.25">
      <c r="Y776" s="5"/>
      <c r="Z776" s="5"/>
    </row>
    <row r="777" spans="25:26" x14ac:dyDescent="0.25">
      <c r="Y777" s="5"/>
      <c r="Z777" s="5"/>
    </row>
    <row r="778" spans="25:26" x14ac:dyDescent="0.25">
      <c r="Y778" s="5"/>
      <c r="Z778" s="5"/>
    </row>
    <row r="779" spans="25:26" x14ac:dyDescent="0.25">
      <c r="Y779" s="5"/>
      <c r="Z779" s="5"/>
    </row>
  </sheetData>
  <mergeCells count="2">
    <mergeCell ref="B2:C2"/>
    <mergeCell ref="B14:C1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19"/>
  <sheetViews>
    <sheetView workbookViewId="0">
      <selection activeCell="K15" sqref="K15"/>
    </sheetView>
  </sheetViews>
  <sheetFormatPr defaultRowHeight="15" x14ac:dyDescent="0.25"/>
  <cols>
    <col min="2" max="2" width="22.5703125" bestFit="1" customWidth="1"/>
    <col min="3" max="3" width="11.5703125" bestFit="1" customWidth="1"/>
    <col min="4" max="5" width="10.5703125" bestFit="1" customWidth="1"/>
    <col min="6" max="6" width="11.5703125" bestFit="1" customWidth="1"/>
    <col min="7" max="7" width="9.140625" style="9"/>
    <col min="8" max="8" width="9.140625" style="8"/>
    <col min="11" max="12" width="10.5703125" bestFit="1" customWidth="1"/>
    <col min="13" max="14" width="11.5703125" bestFit="1" customWidth="1"/>
  </cols>
  <sheetData>
    <row r="1" spans="1:14" ht="15.75" thickBot="1" x14ac:dyDescent="0.3">
      <c r="B1" t="s">
        <v>6</v>
      </c>
    </row>
    <row r="2" spans="1:14" ht="30.75" thickBot="1" x14ac:dyDescent="0.3">
      <c r="B2" s="20" t="s">
        <v>19</v>
      </c>
      <c r="C2" s="51">
        <f>Model!E4</f>
        <v>5.1810000000000002E-2</v>
      </c>
    </row>
    <row r="3" spans="1:14" ht="15.75" thickBot="1" x14ac:dyDescent="0.3">
      <c r="B3" t="s">
        <v>7</v>
      </c>
      <c r="C3" s="35">
        <f>Model!E5</f>
        <v>30</v>
      </c>
    </row>
    <row r="4" spans="1:14" ht="15.75" thickBot="1" x14ac:dyDescent="0.3">
      <c r="B4" t="s">
        <v>8</v>
      </c>
      <c r="C4" s="36">
        <f>Model!E6</f>
        <v>12</v>
      </c>
      <c r="E4" s="23"/>
    </row>
    <row r="5" spans="1:14" ht="15.75" thickBot="1" x14ac:dyDescent="0.3">
      <c r="B5" t="s">
        <v>9</v>
      </c>
      <c r="C5" s="24">
        <f>Model!C9</f>
        <v>456000</v>
      </c>
      <c r="F5" s="16"/>
    </row>
    <row r="6" spans="1:14" ht="15.75" thickBot="1" x14ac:dyDescent="0.3">
      <c r="B6" t="s">
        <v>4</v>
      </c>
      <c r="C6" s="24">
        <f>Model!C8</f>
        <v>24000</v>
      </c>
    </row>
    <row r="7" spans="1:14" s="25" customFormat="1" ht="15.75" thickBot="1" x14ac:dyDescent="0.3">
      <c r="B7" s="17" t="s">
        <v>18</v>
      </c>
      <c r="C7" s="26">
        <f>Model!C5</f>
        <v>480000</v>
      </c>
      <c r="G7" s="27"/>
      <c r="H7" s="28"/>
    </row>
    <row r="8" spans="1:14" ht="15.75" thickBot="1" x14ac:dyDescent="0.3">
      <c r="B8" t="s">
        <v>10</v>
      </c>
      <c r="C8" s="29">
        <f>(C5+C6)/C6</f>
        <v>20</v>
      </c>
      <c r="D8" t="s">
        <v>11</v>
      </c>
      <c r="E8" s="15">
        <v>1</v>
      </c>
    </row>
    <row r="9" spans="1:14" ht="15.75" thickBot="1" x14ac:dyDescent="0.3"/>
    <row r="10" spans="1:14" s="13" customFormat="1" ht="15.75" thickBot="1" x14ac:dyDescent="0.3">
      <c r="B10" s="53"/>
      <c r="C10" s="53"/>
      <c r="D10" s="53"/>
      <c r="E10" s="53"/>
      <c r="F10" s="53"/>
      <c r="G10" s="54"/>
      <c r="H10" s="14"/>
    </row>
    <row r="11" spans="1:14" ht="30" x14ac:dyDescent="0.25">
      <c r="A11" s="17" t="s">
        <v>12</v>
      </c>
      <c r="B11" s="17" t="s">
        <v>13</v>
      </c>
      <c r="C11" s="17" t="s">
        <v>14</v>
      </c>
      <c r="D11" s="17" t="s">
        <v>15</v>
      </c>
      <c r="E11" s="17" t="s">
        <v>16</v>
      </c>
      <c r="F11" s="17" t="s">
        <v>17</v>
      </c>
    </row>
    <row r="12" spans="1:14" x14ac:dyDescent="0.25">
      <c r="A12">
        <v>1</v>
      </c>
      <c r="C12" s="5">
        <f>PMT($C$2/$C$4,$C$3*$C$4,$C$5)</f>
        <v>-2498.5961312051695</v>
      </c>
      <c r="D12" s="5">
        <f>IFERROR(PPMT($C$2/$C$4,A12,$C$3*$C$4,$C$5),0)</f>
        <v>-529.81613120516931</v>
      </c>
      <c r="E12" s="5">
        <f t="shared" ref="E12:E75" si="0">IFERROR(IPMT($C$2/$C$4,A12,$C$3*$C$4,$C$5),0)</f>
        <v>-1968.7800000000004</v>
      </c>
      <c r="F12" s="23">
        <f>IFERROR(C5+D12,0)</f>
        <v>455470.18386879482</v>
      </c>
      <c r="K12" s="5">
        <f>E12</f>
        <v>-1968.7800000000004</v>
      </c>
      <c r="M12" s="5"/>
      <c r="N12" s="23"/>
    </row>
    <row r="13" spans="1:14" x14ac:dyDescent="0.25">
      <c r="A13">
        <v>2</v>
      </c>
      <c r="C13" s="5">
        <f t="shared" ref="C13:C76" si="1">PMT($C$2/$C$4,$C$3*$C$4,$C$5)</f>
        <v>-2498.5961312051695</v>
      </c>
      <c r="D13" s="5">
        <f t="shared" ref="D13:D75" si="2">IFERROR(PPMT($C$2/$C$4,A13,$C$3*$C$4,$C$5),0)</f>
        <v>-532.1036123516476</v>
      </c>
      <c r="E13" s="5">
        <f t="shared" si="0"/>
        <v>-1966.4925188535217</v>
      </c>
      <c r="F13" s="23">
        <f>IFERROR(F12+D13,0)</f>
        <v>454938.08025644318</v>
      </c>
      <c r="K13" s="5">
        <f>K12+E13</f>
        <v>-3935.2725188535223</v>
      </c>
      <c r="L13" s="23"/>
      <c r="M13" s="23"/>
      <c r="N13" s="23"/>
    </row>
    <row r="14" spans="1:14" x14ac:dyDescent="0.25">
      <c r="A14">
        <v>3</v>
      </c>
      <c r="C14" s="5">
        <f t="shared" si="1"/>
        <v>-2498.5961312051695</v>
      </c>
      <c r="D14" s="5">
        <f t="shared" si="2"/>
        <v>-534.40096969797582</v>
      </c>
      <c r="E14" s="5">
        <f t="shared" si="0"/>
        <v>-1964.1951615071935</v>
      </c>
      <c r="F14" s="23">
        <f>IFERROR(F13+D14,0)</f>
        <v>454403.6792867452</v>
      </c>
      <c r="K14" s="5">
        <f>K13+E14</f>
        <v>-5899.4676803607163</v>
      </c>
    </row>
    <row r="15" spans="1:14" x14ac:dyDescent="0.25">
      <c r="A15">
        <v>4</v>
      </c>
      <c r="C15" s="5">
        <f t="shared" si="1"/>
        <v>-2498.5961312051695</v>
      </c>
      <c r="D15" s="5">
        <f t="shared" si="2"/>
        <v>-536.70824588464677</v>
      </c>
      <c r="E15" s="5">
        <f t="shared" si="0"/>
        <v>-1961.8878853205224</v>
      </c>
      <c r="F15" s="23">
        <f t="shared" ref="F15:F76" si="3">IFERROR(F14+D15,0)</f>
        <v>453866.97104086058</v>
      </c>
      <c r="K15" s="5">
        <f>K14+E15</f>
        <v>-7861.3555656812387</v>
      </c>
    </row>
    <row r="16" spans="1:14" x14ac:dyDescent="0.25">
      <c r="A16">
        <v>5</v>
      </c>
      <c r="C16" s="5">
        <f t="shared" si="1"/>
        <v>-2498.5961312051695</v>
      </c>
      <c r="D16" s="5">
        <f t="shared" si="2"/>
        <v>-539.0254837362537</v>
      </c>
      <c r="E16" s="5">
        <f t="shared" si="0"/>
        <v>-1959.5706474689157</v>
      </c>
      <c r="F16" s="23">
        <f t="shared" si="3"/>
        <v>453327.94555712433</v>
      </c>
    </row>
    <row r="17" spans="1:13" x14ac:dyDescent="0.25">
      <c r="A17">
        <v>6</v>
      </c>
      <c r="C17" s="5">
        <f t="shared" si="1"/>
        <v>-2498.5961312051695</v>
      </c>
      <c r="D17" s="5">
        <f t="shared" si="2"/>
        <v>-541.35272626228505</v>
      </c>
      <c r="E17" s="5">
        <f t="shared" si="0"/>
        <v>-1957.2434049428844</v>
      </c>
      <c r="F17" s="23">
        <f t="shared" si="3"/>
        <v>452786.59283086204</v>
      </c>
    </row>
    <row r="18" spans="1:13" x14ac:dyDescent="0.25">
      <c r="A18">
        <v>7</v>
      </c>
      <c r="C18" s="5">
        <f t="shared" si="1"/>
        <v>-2498.5961312051695</v>
      </c>
      <c r="D18" s="5">
        <f t="shared" si="2"/>
        <v>-543.69001665792246</v>
      </c>
      <c r="E18" s="5">
        <f t="shared" si="0"/>
        <v>-1954.9061145472469</v>
      </c>
      <c r="F18" s="23">
        <f t="shared" si="3"/>
        <v>452242.90281420411</v>
      </c>
    </row>
    <row r="19" spans="1:13" x14ac:dyDescent="0.25">
      <c r="A19">
        <v>8</v>
      </c>
      <c r="C19" s="5">
        <f t="shared" si="1"/>
        <v>-2498.5961312051695</v>
      </c>
      <c r="D19" s="5">
        <f t="shared" si="2"/>
        <v>-546.03739830484301</v>
      </c>
      <c r="E19" s="5">
        <f t="shared" si="0"/>
        <v>-1952.5587329003265</v>
      </c>
      <c r="F19" s="23">
        <f t="shared" si="3"/>
        <v>451696.86541589926</v>
      </c>
    </row>
    <row r="20" spans="1:13" x14ac:dyDescent="0.25">
      <c r="A20">
        <v>9</v>
      </c>
      <c r="C20" s="5">
        <f t="shared" si="1"/>
        <v>-2498.5961312051695</v>
      </c>
      <c r="D20" s="5">
        <f t="shared" si="2"/>
        <v>-548.39491477202409</v>
      </c>
      <c r="E20" s="5">
        <f t="shared" si="0"/>
        <v>-1950.2012164331452</v>
      </c>
      <c r="F20" s="23">
        <f t="shared" si="3"/>
        <v>451148.47050112725</v>
      </c>
    </row>
    <row r="21" spans="1:13" x14ac:dyDescent="0.25">
      <c r="A21">
        <v>10</v>
      </c>
      <c r="C21" s="5">
        <f t="shared" si="1"/>
        <v>-2498.5961312051695</v>
      </c>
      <c r="D21" s="5">
        <f t="shared" si="2"/>
        <v>-550.76260981655241</v>
      </c>
      <c r="E21" s="5">
        <f t="shared" si="0"/>
        <v>-1947.8335213886169</v>
      </c>
      <c r="F21" s="23">
        <f t="shared" si="3"/>
        <v>450597.70789131068</v>
      </c>
    </row>
    <row r="22" spans="1:13" x14ac:dyDescent="0.25">
      <c r="A22">
        <v>11</v>
      </c>
      <c r="C22" s="5">
        <f t="shared" si="1"/>
        <v>-2498.5961312051695</v>
      </c>
      <c r="D22" s="5">
        <f t="shared" si="2"/>
        <v>-553.14052738443536</v>
      </c>
      <c r="E22" s="5">
        <f t="shared" si="0"/>
        <v>-1945.455603820734</v>
      </c>
      <c r="F22" s="23">
        <f t="shared" si="3"/>
        <v>450044.56736392627</v>
      </c>
    </row>
    <row r="23" spans="1:13" x14ac:dyDescent="0.25">
      <c r="A23">
        <v>12</v>
      </c>
      <c r="C23" s="5">
        <f>PMT($C$2/$C$4,$C$3*$C$4,$C$5)</f>
        <v>-2498.5961312051695</v>
      </c>
      <c r="D23" s="5">
        <f t="shared" si="2"/>
        <v>-555.52871161141752</v>
      </c>
      <c r="E23" s="5">
        <f t="shared" si="0"/>
        <v>-1943.0674195937518</v>
      </c>
      <c r="F23" s="23">
        <f>IFERROR(F22+D23,0)</f>
        <v>449489.03865231486</v>
      </c>
      <c r="M23" s="5"/>
    </row>
    <row r="24" spans="1:13" x14ac:dyDescent="0.25">
      <c r="A24">
        <v>13</v>
      </c>
      <c r="C24" s="5">
        <f t="shared" si="1"/>
        <v>-2498.5961312051695</v>
      </c>
      <c r="D24" s="5">
        <f t="shared" si="2"/>
        <v>-557.92720682379991</v>
      </c>
      <c r="E24" s="5">
        <f t="shared" si="0"/>
        <v>-1940.6689243813694</v>
      </c>
      <c r="F24" s="23">
        <f t="shared" si="3"/>
        <v>448931.11144549109</v>
      </c>
      <c r="M24" s="16"/>
    </row>
    <row r="25" spans="1:13" x14ac:dyDescent="0.25">
      <c r="A25">
        <v>14</v>
      </c>
      <c r="C25" s="5">
        <f t="shared" si="1"/>
        <v>-2498.5961312051695</v>
      </c>
      <c r="D25" s="5">
        <f t="shared" si="2"/>
        <v>-560.33605753926167</v>
      </c>
      <c r="E25" s="5">
        <f t="shared" si="0"/>
        <v>-1938.2600736659078</v>
      </c>
      <c r="F25" s="23">
        <f t="shared" si="3"/>
        <v>448370.77538795181</v>
      </c>
    </row>
    <row r="26" spans="1:13" x14ac:dyDescent="0.25">
      <c r="A26">
        <v>15</v>
      </c>
      <c r="C26" s="5">
        <f t="shared" si="1"/>
        <v>-2498.5961312051695</v>
      </c>
      <c r="D26" s="5">
        <f t="shared" si="2"/>
        <v>-562.75530846768743</v>
      </c>
      <c r="E26" s="5">
        <f t="shared" si="0"/>
        <v>-1935.8408227374821</v>
      </c>
      <c r="F26" s="23">
        <f t="shared" si="3"/>
        <v>447808.02007948415</v>
      </c>
    </row>
    <row r="27" spans="1:13" x14ac:dyDescent="0.25">
      <c r="A27">
        <v>16</v>
      </c>
      <c r="C27" s="5">
        <f t="shared" si="1"/>
        <v>-2498.5961312051695</v>
      </c>
      <c r="D27" s="5">
        <f t="shared" si="2"/>
        <v>-565.18500451199668</v>
      </c>
      <c r="E27" s="5">
        <f t="shared" si="0"/>
        <v>-1933.4111266931727</v>
      </c>
      <c r="F27" s="23">
        <f t="shared" si="3"/>
        <v>447242.83507497213</v>
      </c>
    </row>
    <row r="28" spans="1:13" x14ac:dyDescent="0.25">
      <c r="A28">
        <v>17</v>
      </c>
      <c r="C28" s="5">
        <f t="shared" si="1"/>
        <v>-2498.5961312051695</v>
      </c>
      <c r="D28" s="5">
        <f t="shared" si="2"/>
        <v>-567.62519076897729</v>
      </c>
      <c r="E28" s="5">
        <f t="shared" si="0"/>
        <v>-1930.9709404361922</v>
      </c>
      <c r="F28" s="23">
        <f t="shared" si="3"/>
        <v>446675.20988420316</v>
      </c>
    </row>
    <row r="29" spans="1:13" x14ac:dyDescent="0.25">
      <c r="A29">
        <v>18</v>
      </c>
      <c r="C29" s="5">
        <f t="shared" si="1"/>
        <v>-2498.5961312051695</v>
      </c>
      <c r="D29" s="5">
        <f t="shared" si="2"/>
        <v>-570.07591253012242</v>
      </c>
      <c r="E29" s="5">
        <f t="shared" si="0"/>
        <v>-1928.5202186750469</v>
      </c>
      <c r="F29" s="23">
        <f t="shared" si="3"/>
        <v>446105.13397167303</v>
      </c>
    </row>
    <row r="30" spans="1:13" x14ac:dyDescent="0.25">
      <c r="A30">
        <v>19</v>
      </c>
      <c r="C30" s="5">
        <f t="shared" si="1"/>
        <v>-2498.5961312051695</v>
      </c>
      <c r="D30" s="5">
        <f t="shared" si="2"/>
        <v>-572.53721528247127</v>
      </c>
      <c r="E30" s="5">
        <f t="shared" si="0"/>
        <v>-1926.0589159226984</v>
      </c>
      <c r="F30" s="23">
        <f t="shared" si="3"/>
        <v>445532.59675639053</v>
      </c>
    </row>
    <row r="31" spans="1:13" x14ac:dyDescent="0.25">
      <c r="A31">
        <v>20</v>
      </c>
      <c r="C31" s="5">
        <f t="shared" si="1"/>
        <v>-2498.5961312051695</v>
      </c>
      <c r="D31" s="5">
        <f t="shared" si="2"/>
        <v>-575.00914470945315</v>
      </c>
      <c r="E31" s="5">
        <f t="shared" si="0"/>
        <v>-1923.5869864957162</v>
      </c>
      <c r="F31" s="23">
        <f t="shared" si="3"/>
        <v>444957.58761168108</v>
      </c>
    </row>
    <row r="32" spans="1:13" x14ac:dyDescent="0.25">
      <c r="A32">
        <v>21</v>
      </c>
      <c r="C32" s="5">
        <f t="shared" si="1"/>
        <v>-2498.5961312051695</v>
      </c>
      <c r="D32" s="5">
        <f t="shared" si="2"/>
        <v>-577.49174669173624</v>
      </c>
      <c r="E32" s="5">
        <f t="shared" si="0"/>
        <v>-1921.1043845134332</v>
      </c>
      <c r="F32" s="23">
        <f t="shared" si="3"/>
        <v>444380.09586498933</v>
      </c>
    </row>
    <row r="33" spans="1:6" x14ac:dyDescent="0.25">
      <c r="A33">
        <v>22</v>
      </c>
      <c r="C33" s="5">
        <f t="shared" si="1"/>
        <v>-2498.5961312051695</v>
      </c>
      <c r="D33" s="5">
        <f t="shared" si="2"/>
        <v>-579.98506730807787</v>
      </c>
      <c r="E33" s="5">
        <f t="shared" si="0"/>
        <v>-1918.6110638970915</v>
      </c>
      <c r="F33" s="23">
        <f t="shared" si="3"/>
        <v>443800.11079768126</v>
      </c>
    </row>
    <row r="34" spans="1:6" x14ac:dyDescent="0.25">
      <c r="A34">
        <v>23</v>
      </c>
      <c r="C34" s="5">
        <f t="shared" si="1"/>
        <v>-2498.5961312051695</v>
      </c>
      <c r="D34" s="5">
        <f t="shared" si="2"/>
        <v>-582.48915283618044</v>
      </c>
      <c r="E34" s="5">
        <f t="shared" si="0"/>
        <v>-1916.1069783689888</v>
      </c>
      <c r="F34" s="23">
        <f t="shared" si="3"/>
        <v>443217.62164484506</v>
      </c>
    </row>
    <row r="35" spans="1:6" x14ac:dyDescent="0.25">
      <c r="A35">
        <v>24</v>
      </c>
      <c r="C35" s="5">
        <f t="shared" si="1"/>
        <v>-2498.5961312051695</v>
      </c>
      <c r="D35" s="5">
        <f t="shared" si="2"/>
        <v>-585.00404975355059</v>
      </c>
      <c r="E35" s="5">
        <f t="shared" si="0"/>
        <v>-1913.5920814516187</v>
      </c>
      <c r="F35" s="23">
        <f t="shared" si="3"/>
        <v>442632.61759509152</v>
      </c>
    </row>
    <row r="36" spans="1:6" x14ac:dyDescent="0.25">
      <c r="A36">
        <v>25</v>
      </c>
      <c r="C36" s="5">
        <f t="shared" si="1"/>
        <v>-2498.5961312051695</v>
      </c>
      <c r="D36" s="5">
        <f t="shared" si="2"/>
        <v>-587.52980473836146</v>
      </c>
      <c r="E36" s="5">
        <f t="shared" si="0"/>
        <v>-1911.0663264668081</v>
      </c>
      <c r="F36" s="23">
        <f t="shared" si="3"/>
        <v>442045.08779035317</v>
      </c>
    </row>
    <row r="37" spans="1:6" x14ac:dyDescent="0.25">
      <c r="A37">
        <v>26</v>
      </c>
      <c r="C37" s="5">
        <f t="shared" si="1"/>
        <v>-2498.5961312051695</v>
      </c>
      <c r="D37" s="5">
        <f t="shared" si="2"/>
        <v>-590.06646467031953</v>
      </c>
      <c r="E37" s="5">
        <f t="shared" si="0"/>
        <v>-1908.5296665348501</v>
      </c>
      <c r="F37" s="23">
        <f t="shared" si="3"/>
        <v>441455.02132568287</v>
      </c>
    </row>
    <row r="38" spans="1:6" x14ac:dyDescent="0.25">
      <c r="A38">
        <v>27</v>
      </c>
      <c r="C38" s="5">
        <f t="shared" si="1"/>
        <v>-2498.5961312051695</v>
      </c>
      <c r="D38" s="5">
        <f t="shared" si="2"/>
        <v>-592.61407663153352</v>
      </c>
      <c r="E38" s="5">
        <f t="shared" si="0"/>
        <v>-1905.9820545736359</v>
      </c>
      <c r="F38" s="23">
        <f t="shared" si="3"/>
        <v>440862.40724905132</v>
      </c>
    </row>
    <row r="39" spans="1:6" x14ac:dyDescent="0.25">
      <c r="A39">
        <v>28</v>
      </c>
      <c r="C39" s="5">
        <f t="shared" si="1"/>
        <v>-2498.5961312051695</v>
      </c>
      <c r="D39" s="5">
        <f t="shared" si="2"/>
        <v>-595.17268790739024</v>
      </c>
      <c r="E39" s="5">
        <f t="shared" si="0"/>
        <v>-1903.4234432977792</v>
      </c>
      <c r="F39" s="23">
        <f t="shared" si="3"/>
        <v>440267.23456114391</v>
      </c>
    </row>
    <row r="40" spans="1:6" x14ac:dyDescent="0.25">
      <c r="A40">
        <v>29</v>
      </c>
      <c r="C40" s="5">
        <f t="shared" si="1"/>
        <v>-2498.5961312051695</v>
      </c>
      <c r="D40" s="5">
        <f t="shared" si="2"/>
        <v>-597.74234598743033</v>
      </c>
      <c r="E40" s="5">
        <f t="shared" si="0"/>
        <v>-1900.853785217739</v>
      </c>
      <c r="F40" s="23">
        <f t="shared" si="3"/>
        <v>439669.4922151565</v>
      </c>
    </row>
    <row r="41" spans="1:6" x14ac:dyDescent="0.25">
      <c r="A41">
        <v>30</v>
      </c>
      <c r="C41" s="5">
        <f t="shared" si="1"/>
        <v>-2498.5961312051695</v>
      </c>
      <c r="D41" s="5">
        <f t="shared" si="2"/>
        <v>-600.32309856623112</v>
      </c>
      <c r="E41" s="5">
        <f t="shared" si="0"/>
        <v>-1898.2730326389383</v>
      </c>
      <c r="F41" s="23">
        <f t="shared" si="3"/>
        <v>439069.16911659029</v>
      </c>
    </row>
    <row r="42" spans="1:6" x14ac:dyDescent="0.25">
      <c r="A42">
        <v>31</v>
      </c>
      <c r="C42" s="5">
        <f t="shared" si="1"/>
        <v>-2498.5961312051695</v>
      </c>
      <c r="D42" s="5">
        <f t="shared" si="2"/>
        <v>-602.91499354429072</v>
      </c>
      <c r="E42" s="5">
        <f t="shared" si="0"/>
        <v>-1895.6811376608787</v>
      </c>
      <c r="F42" s="23">
        <f t="shared" si="3"/>
        <v>438466.254123046</v>
      </c>
    </row>
    <row r="43" spans="1:6" x14ac:dyDescent="0.25">
      <c r="A43">
        <v>32</v>
      </c>
      <c r="C43" s="5">
        <f t="shared" si="1"/>
        <v>-2498.5961312051695</v>
      </c>
      <c r="D43" s="5">
        <f t="shared" si="2"/>
        <v>-605.51807902891824</v>
      </c>
      <c r="E43" s="5">
        <f t="shared" si="0"/>
        <v>-1893.078052176251</v>
      </c>
      <c r="F43" s="23">
        <f t="shared" si="3"/>
        <v>437860.73604401707</v>
      </c>
    </row>
    <row r="44" spans="1:6" x14ac:dyDescent="0.25">
      <c r="A44">
        <v>33</v>
      </c>
      <c r="C44" s="5">
        <f t="shared" si="1"/>
        <v>-2498.5961312051695</v>
      </c>
      <c r="D44" s="5">
        <f t="shared" si="2"/>
        <v>-608.13240333512567</v>
      </c>
      <c r="E44" s="5">
        <f t="shared" si="0"/>
        <v>-1890.4637278700438</v>
      </c>
      <c r="F44" s="23">
        <f t="shared" si="3"/>
        <v>437252.60364068195</v>
      </c>
    </row>
    <row r="45" spans="1:6" x14ac:dyDescent="0.25">
      <c r="A45">
        <v>34</v>
      </c>
      <c r="C45" s="5">
        <f t="shared" si="1"/>
        <v>-2498.5961312051695</v>
      </c>
      <c r="D45" s="5">
        <f t="shared" si="2"/>
        <v>-610.75801498652515</v>
      </c>
      <c r="E45" s="5">
        <f t="shared" si="0"/>
        <v>-1887.8381162186445</v>
      </c>
      <c r="F45" s="23">
        <f t="shared" si="3"/>
        <v>436641.84562569542</v>
      </c>
    </row>
    <row r="46" spans="1:6" x14ac:dyDescent="0.25">
      <c r="A46">
        <v>35</v>
      </c>
      <c r="C46" s="5">
        <f t="shared" si="1"/>
        <v>-2498.5961312051695</v>
      </c>
      <c r="D46" s="5">
        <f t="shared" si="2"/>
        <v>-613.39496271622943</v>
      </c>
      <c r="E46" s="5">
        <f t="shared" si="0"/>
        <v>-1885.2011684889399</v>
      </c>
      <c r="F46" s="23">
        <f t="shared" si="3"/>
        <v>436028.45066297922</v>
      </c>
    </row>
    <row r="47" spans="1:6" x14ac:dyDescent="0.25">
      <c r="A47">
        <v>36</v>
      </c>
      <c r="C47" s="5">
        <f t="shared" si="1"/>
        <v>-2498.5961312051695</v>
      </c>
      <c r="D47" s="5">
        <f t="shared" si="2"/>
        <v>-616.04329546775682</v>
      </c>
      <c r="E47" s="5">
        <f t="shared" si="0"/>
        <v>-1882.5528357374126</v>
      </c>
      <c r="F47" s="23">
        <f t="shared" si="3"/>
        <v>435412.40736751148</v>
      </c>
    </row>
    <row r="48" spans="1:6" x14ac:dyDescent="0.25">
      <c r="A48">
        <v>37</v>
      </c>
      <c r="C48" s="5">
        <f t="shared" si="1"/>
        <v>-2498.5961312051695</v>
      </c>
      <c r="D48" s="5">
        <f t="shared" si="2"/>
        <v>-618.70306239593867</v>
      </c>
      <c r="E48" s="5">
        <f t="shared" si="0"/>
        <v>-1879.8930688092307</v>
      </c>
      <c r="F48" s="23">
        <f t="shared" si="3"/>
        <v>434793.70430511556</v>
      </c>
    </row>
    <row r="49" spans="1:6" x14ac:dyDescent="0.25">
      <c r="A49">
        <v>38</v>
      </c>
      <c r="C49" s="5">
        <f t="shared" si="1"/>
        <v>-2498.5961312051695</v>
      </c>
      <c r="D49" s="5">
        <f t="shared" si="2"/>
        <v>-621.37431286783317</v>
      </c>
      <c r="E49" s="5">
        <f t="shared" si="0"/>
        <v>-1877.2218183373363</v>
      </c>
      <c r="F49" s="23">
        <f t="shared" si="3"/>
        <v>434172.32999224775</v>
      </c>
    </row>
    <row r="50" spans="1:6" x14ac:dyDescent="0.25">
      <c r="A50">
        <v>39</v>
      </c>
      <c r="C50" s="5">
        <f t="shared" si="1"/>
        <v>-2498.5961312051695</v>
      </c>
      <c r="D50" s="5">
        <f t="shared" si="2"/>
        <v>-624.05709646364016</v>
      </c>
      <c r="E50" s="5">
        <f t="shared" si="0"/>
        <v>-1874.5390347415291</v>
      </c>
      <c r="F50" s="23">
        <f t="shared" si="3"/>
        <v>433548.27289578412</v>
      </c>
    </row>
    <row r="51" spans="1:6" x14ac:dyDescent="0.25">
      <c r="A51">
        <v>40</v>
      </c>
      <c r="C51" s="5">
        <f t="shared" si="1"/>
        <v>-2498.5961312051695</v>
      </c>
      <c r="D51" s="5">
        <f t="shared" si="2"/>
        <v>-626.75146297762183</v>
      </c>
      <c r="E51" s="5">
        <f t="shared" si="0"/>
        <v>-1871.8446682275478</v>
      </c>
      <c r="F51" s="23">
        <f t="shared" si="3"/>
        <v>432921.5214328065</v>
      </c>
    </row>
    <row r="52" spans="1:6" x14ac:dyDescent="0.25">
      <c r="A52">
        <v>41</v>
      </c>
      <c r="C52" s="5">
        <f t="shared" si="1"/>
        <v>-2498.5961312051695</v>
      </c>
      <c r="D52" s="5">
        <f t="shared" si="2"/>
        <v>-629.45746241902771</v>
      </c>
      <c r="E52" s="5">
        <f t="shared" si="0"/>
        <v>-1869.1386687861416</v>
      </c>
      <c r="F52" s="23">
        <f t="shared" si="3"/>
        <v>432292.06397038751</v>
      </c>
    </row>
    <row r="53" spans="1:6" x14ac:dyDescent="0.25">
      <c r="A53">
        <v>42</v>
      </c>
      <c r="C53" s="5">
        <f t="shared" si="1"/>
        <v>-2498.5961312051695</v>
      </c>
      <c r="D53" s="5">
        <f t="shared" si="2"/>
        <v>-632.17514501302196</v>
      </c>
      <c r="E53" s="5">
        <f t="shared" si="0"/>
        <v>-1866.4209861921477</v>
      </c>
      <c r="F53" s="23">
        <f t="shared" si="3"/>
        <v>431659.88882537448</v>
      </c>
    </row>
    <row r="54" spans="1:6" x14ac:dyDescent="0.25">
      <c r="A54">
        <v>43</v>
      </c>
      <c r="C54" s="5">
        <f t="shared" si="1"/>
        <v>-2498.5961312051695</v>
      </c>
      <c r="D54" s="5">
        <f t="shared" si="2"/>
        <v>-634.90456120161559</v>
      </c>
      <c r="E54" s="5">
        <f t="shared" si="0"/>
        <v>-1863.6915700035538</v>
      </c>
      <c r="F54" s="23">
        <f t="shared" si="3"/>
        <v>431024.98426417285</v>
      </c>
    </row>
    <row r="55" spans="1:6" x14ac:dyDescent="0.25">
      <c r="A55">
        <v>44</v>
      </c>
      <c r="C55" s="5">
        <f t="shared" si="1"/>
        <v>-2498.5961312051695</v>
      </c>
      <c r="D55" s="5">
        <f t="shared" si="2"/>
        <v>-637.64576164460357</v>
      </c>
      <c r="E55" s="5">
        <f t="shared" si="0"/>
        <v>-1860.9503695605658</v>
      </c>
      <c r="F55" s="23">
        <f t="shared" si="3"/>
        <v>430387.33850252826</v>
      </c>
    </row>
    <row r="56" spans="1:6" x14ac:dyDescent="0.25">
      <c r="A56">
        <v>45</v>
      </c>
      <c r="C56" s="5">
        <f t="shared" si="1"/>
        <v>-2498.5961312051695</v>
      </c>
      <c r="D56" s="5">
        <f t="shared" si="2"/>
        <v>-640.39879722050398</v>
      </c>
      <c r="E56" s="5">
        <f t="shared" si="0"/>
        <v>-1858.1973339846654</v>
      </c>
      <c r="F56" s="23">
        <f t="shared" si="3"/>
        <v>429746.93970530777</v>
      </c>
    </row>
    <row r="57" spans="1:6" x14ac:dyDescent="0.25">
      <c r="A57">
        <v>46</v>
      </c>
      <c r="C57" s="5">
        <f t="shared" si="1"/>
        <v>-2498.5961312051695</v>
      </c>
      <c r="D57" s="5">
        <f t="shared" si="2"/>
        <v>-643.1637190275037</v>
      </c>
      <c r="E57" s="5">
        <f t="shared" si="0"/>
        <v>-1855.4324121776656</v>
      </c>
      <c r="F57" s="23">
        <f t="shared" si="3"/>
        <v>429103.77598628029</v>
      </c>
    </row>
    <row r="58" spans="1:6" x14ac:dyDescent="0.25">
      <c r="A58">
        <v>47</v>
      </c>
      <c r="C58" s="5">
        <f t="shared" si="1"/>
        <v>-2498.5961312051695</v>
      </c>
      <c r="D58" s="5">
        <f t="shared" si="2"/>
        <v>-645.94057838440483</v>
      </c>
      <c r="E58" s="5">
        <f t="shared" si="0"/>
        <v>-1852.6555528207641</v>
      </c>
      <c r="F58" s="23">
        <f t="shared" si="3"/>
        <v>428457.83540789591</v>
      </c>
    </row>
    <row r="59" spans="1:6" x14ac:dyDescent="0.25">
      <c r="A59">
        <v>48</v>
      </c>
      <c r="C59" s="5">
        <f t="shared" si="1"/>
        <v>-2498.5961312051695</v>
      </c>
      <c r="D59" s="5">
        <f t="shared" si="2"/>
        <v>-648.72942683157942</v>
      </c>
      <c r="E59" s="5">
        <f t="shared" si="0"/>
        <v>-1849.86670437359</v>
      </c>
      <c r="F59" s="23">
        <f t="shared" si="3"/>
        <v>427809.10598106432</v>
      </c>
    </row>
    <row r="60" spans="1:6" x14ac:dyDescent="0.25">
      <c r="A60">
        <v>49</v>
      </c>
      <c r="C60" s="5">
        <f t="shared" si="1"/>
        <v>-2498.5961312051695</v>
      </c>
      <c r="D60" s="5">
        <f t="shared" si="2"/>
        <v>-651.53031613192479</v>
      </c>
      <c r="E60" s="5">
        <f t="shared" si="0"/>
        <v>-1847.0658150732445</v>
      </c>
      <c r="F60" s="23">
        <f t="shared" si="3"/>
        <v>427157.57566493237</v>
      </c>
    </row>
    <row r="61" spans="1:6" x14ac:dyDescent="0.25">
      <c r="A61">
        <v>50</v>
      </c>
      <c r="C61" s="5">
        <f t="shared" si="1"/>
        <v>-2498.5961312051695</v>
      </c>
      <c r="D61" s="5">
        <f t="shared" si="2"/>
        <v>-654.34329827182466</v>
      </c>
      <c r="E61" s="5">
        <f t="shared" si="0"/>
        <v>-1844.2528329333445</v>
      </c>
      <c r="F61" s="23">
        <f t="shared" si="3"/>
        <v>426503.23236666055</v>
      </c>
    </row>
    <row r="62" spans="1:6" x14ac:dyDescent="0.25">
      <c r="A62">
        <v>51</v>
      </c>
      <c r="C62" s="5">
        <f t="shared" si="1"/>
        <v>-2498.5961312051695</v>
      </c>
      <c r="D62" s="5">
        <f t="shared" si="2"/>
        <v>-657.16842546211308</v>
      </c>
      <c r="E62" s="5">
        <f t="shared" si="0"/>
        <v>-1841.4277057430563</v>
      </c>
      <c r="F62" s="23">
        <f t="shared" si="3"/>
        <v>425846.06394119846</v>
      </c>
    </row>
    <row r="63" spans="1:6" x14ac:dyDescent="0.25">
      <c r="A63">
        <v>52</v>
      </c>
      <c r="C63" s="5">
        <f t="shared" si="1"/>
        <v>-2498.5961312051695</v>
      </c>
      <c r="D63" s="5">
        <f t="shared" si="2"/>
        <v>-660.00575013904586</v>
      </c>
      <c r="E63" s="5">
        <f t="shared" si="0"/>
        <v>-1838.5903810661234</v>
      </c>
      <c r="F63" s="23">
        <f t="shared" si="3"/>
        <v>425186.05819105939</v>
      </c>
    </row>
    <row r="64" spans="1:6" x14ac:dyDescent="0.25">
      <c r="A64">
        <v>53</v>
      </c>
      <c r="C64" s="5">
        <f t="shared" si="1"/>
        <v>-2498.5961312051695</v>
      </c>
      <c r="D64" s="5">
        <f t="shared" si="2"/>
        <v>-662.85532496527128</v>
      </c>
      <c r="E64" s="5">
        <f t="shared" si="0"/>
        <v>-1835.7408062398981</v>
      </c>
      <c r="F64" s="23">
        <f t="shared" si="3"/>
        <v>424523.20286609413</v>
      </c>
    </row>
    <row r="65" spans="1:6" x14ac:dyDescent="0.25">
      <c r="A65">
        <v>54</v>
      </c>
      <c r="C65" s="5">
        <f t="shared" si="1"/>
        <v>-2498.5961312051695</v>
      </c>
      <c r="D65" s="5">
        <f t="shared" si="2"/>
        <v>-665.71720283080879</v>
      </c>
      <c r="E65" s="5">
        <f t="shared" si="0"/>
        <v>-1832.8789283743604</v>
      </c>
      <c r="F65" s="23">
        <f t="shared" si="3"/>
        <v>423857.4856632633</v>
      </c>
    </row>
    <row r="66" spans="1:6" x14ac:dyDescent="0.25">
      <c r="A66">
        <v>55</v>
      </c>
      <c r="C66" s="5">
        <f t="shared" si="1"/>
        <v>-2498.5961312051695</v>
      </c>
      <c r="D66" s="5">
        <f t="shared" si="2"/>
        <v>-668.59143685403069</v>
      </c>
      <c r="E66" s="5">
        <f t="shared" si="0"/>
        <v>-1830.0046943511386</v>
      </c>
      <c r="F66" s="23">
        <f t="shared" si="3"/>
        <v>423188.89422640926</v>
      </c>
    </row>
    <row r="67" spans="1:6" x14ac:dyDescent="0.25">
      <c r="A67">
        <v>56</v>
      </c>
      <c r="C67" s="5">
        <f t="shared" si="1"/>
        <v>-2498.5961312051695</v>
      </c>
      <c r="D67" s="5">
        <f t="shared" si="2"/>
        <v>-671.47808038264805</v>
      </c>
      <c r="E67" s="5">
        <f t="shared" si="0"/>
        <v>-1827.1180508225214</v>
      </c>
      <c r="F67" s="23">
        <f t="shared" si="3"/>
        <v>422517.41614602663</v>
      </c>
    </row>
    <row r="68" spans="1:6" x14ac:dyDescent="0.25">
      <c r="A68">
        <v>57</v>
      </c>
      <c r="C68" s="5">
        <f t="shared" si="1"/>
        <v>-2498.5961312051695</v>
      </c>
      <c r="D68" s="5">
        <f t="shared" si="2"/>
        <v>-674.37718699470008</v>
      </c>
      <c r="E68" s="5">
        <f t="shared" si="0"/>
        <v>-1824.2189442104693</v>
      </c>
      <c r="F68" s="23">
        <f t="shared" si="3"/>
        <v>421843.03895903192</v>
      </c>
    </row>
    <row r="69" spans="1:6" x14ac:dyDescent="0.25">
      <c r="A69">
        <v>58</v>
      </c>
      <c r="C69" s="5">
        <f t="shared" si="1"/>
        <v>-2498.5961312051695</v>
      </c>
      <c r="D69" s="5">
        <f t="shared" si="2"/>
        <v>-677.28881049954953</v>
      </c>
      <c r="E69" s="5">
        <f t="shared" si="0"/>
        <v>-1821.3073207056198</v>
      </c>
      <c r="F69" s="23">
        <f t="shared" si="3"/>
        <v>421165.75014853239</v>
      </c>
    </row>
    <row r="70" spans="1:6" x14ac:dyDescent="0.25">
      <c r="A70">
        <v>59</v>
      </c>
      <c r="C70" s="5">
        <f t="shared" si="1"/>
        <v>-2498.5961312051695</v>
      </c>
      <c r="D70" s="5">
        <f t="shared" si="2"/>
        <v>-680.21300493888145</v>
      </c>
      <c r="E70" s="5">
        <f t="shared" si="0"/>
        <v>-1818.3831262662879</v>
      </c>
      <c r="F70" s="23">
        <f t="shared" si="3"/>
        <v>420485.53714359348</v>
      </c>
    </row>
    <row r="71" spans="1:6" x14ac:dyDescent="0.25">
      <c r="A71">
        <v>60</v>
      </c>
      <c r="C71" s="5">
        <f t="shared" si="1"/>
        <v>-2498.5961312051695</v>
      </c>
      <c r="D71" s="5">
        <f t="shared" si="2"/>
        <v>-683.1498245877051</v>
      </c>
      <c r="E71" s="5">
        <f t="shared" si="0"/>
        <v>-1815.4463066174644</v>
      </c>
      <c r="F71" s="23">
        <f t="shared" si="3"/>
        <v>419802.38731900579</v>
      </c>
    </row>
    <row r="72" spans="1:6" x14ac:dyDescent="0.25">
      <c r="A72">
        <v>61</v>
      </c>
      <c r="C72" s="5">
        <f t="shared" si="1"/>
        <v>-2498.5961312051695</v>
      </c>
      <c r="D72" s="5">
        <f t="shared" si="2"/>
        <v>-686.09932395536237</v>
      </c>
      <c r="E72" s="5">
        <f t="shared" si="0"/>
        <v>-1812.4968072498068</v>
      </c>
      <c r="F72" s="23">
        <f t="shared" si="3"/>
        <v>419116.28799505043</v>
      </c>
    </row>
    <row r="73" spans="1:6" x14ac:dyDescent="0.25">
      <c r="A73">
        <v>62</v>
      </c>
      <c r="C73" s="5">
        <f t="shared" si="1"/>
        <v>-2498.5961312051695</v>
      </c>
      <c r="D73" s="5">
        <f t="shared" si="2"/>
        <v>-689.06155778653965</v>
      </c>
      <c r="E73" s="5">
        <f t="shared" si="0"/>
        <v>-1809.5345734186296</v>
      </c>
      <c r="F73" s="23">
        <f t="shared" si="3"/>
        <v>418427.22643726389</v>
      </c>
    </row>
    <row r="74" spans="1:6" x14ac:dyDescent="0.25">
      <c r="A74">
        <v>63</v>
      </c>
      <c r="C74" s="5">
        <f t="shared" si="1"/>
        <v>-2498.5961312051695</v>
      </c>
      <c r="D74" s="5">
        <f t="shared" si="2"/>
        <v>-692.03658106228306</v>
      </c>
      <c r="E74" s="5">
        <f t="shared" si="0"/>
        <v>-1806.5595501428863</v>
      </c>
      <c r="F74" s="23">
        <f t="shared" si="3"/>
        <v>417735.18985620158</v>
      </c>
    </row>
    <row r="75" spans="1:6" x14ac:dyDescent="0.25">
      <c r="A75">
        <v>64</v>
      </c>
      <c r="C75" s="5">
        <f t="shared" si="1"/>
        <v>-2498.5961312051695</v>
      </c>
      <c r="D75" s="5">
        <f t="shared" si="2"/>
        <v>-695.02444900101943</v>
      </c>
      <c r="E75" s="5">
        <f t="shared" si="0"/>
        <v>-1803.57168220415</v>
      </c>
      <c r="F75" s="23">
        <f t="shared" si="3"/>
        <v>417040.16540720058</v>
      </c>
    </row>
    <row r="76" spans="1:6" x14ac:dyDescent="0.25">
      <c r="A76">
        <v>65</v>
      </c>
      <c r="C76" s="5">
        <f t="shared" si="1"/>
        <v>-2498.5961312051695</v>
      </c>
      <c r="D76" s="5">
        <f t="shared" ref="D76:D139" si="4">IFERROR(PPMT($C$2/$C$4,A76,$C$3*$C$4,$C$5),0)</f>
        <v>-698.02521705958156</v>
      </c>
      <c r="E76" s="5">
        <f t="shared" ref="E76:E139" si="5">IFERROR(IPMT($C$2/$C$4,A76,$C$3*$C$4,$C$5),0)</f>
        <v>-1800.5709141455877</v>
      </c>
      <c r="F76" s="23">
        <f t="shared" si="3"/>
        <v>416342.14019014098</v>
      </c>
    </row>
    <row r="77" spans="1:6" x14ac:dyDescent="0.25">
      <c r="A77">
        <v>66</v>
      </c>
      <c r="C77" s="5">
        <f t="shared" ref="C77:C140" si="6">PMT($C$2/$C$4,$C$3*$C$4,$C$5)</f>
        <v>-2498.5961312051695</v>
      </c>
      <c r="D77" s="5">
        <f t="shared" si="4"/>
        <v>-701.03894093423639</v>
      </c>
      <c r="E77" s="5">
        <f t="shared" si="5"/>
        <v>-1797.557190270933</v>
      </c>
      <c r="F77" s="23">
        <f t="shared" ref="F77:F140" si="7">IFERROR(F76+D77,0)</f>
        <v>415641.10124920675</v>
      </c>
    </row>
    <row r="78" spans="1:6" x14ac:dyDescent="0.25">
      <c r="A78">
        <v>67</v>
      </c>
      <c r="C78" s="5">
        <f t="shared" si="6"/>
        <v>-2498.5961312051695</v>
      </c>
      <c r="D78" s="5">
        <f t="shared" si="4"/>
        <v>-704.0656765617199</v>
      </c>
      <c r="E78" s="5">
        <f t="shared" si="5"/>
        <v>-1794.5304546434495</v>
      </c>
      <c r="F78" s="23">
        <f t="shared" si="7"/>
        <v>414937.03557264502</v>
      </c>
    </row>
    <row r="79" spans="1:6" x14ac:dyDescent="0.25">
      <c r="A79">
        <v>68</v>
      </c>
      <c r="C79" s="5">
        <f t="shared" si="6"/>
        <v>-2498.5961312051695</v>
      </c>
      <c r="D79" s="5">
        <f t="shared" si="4"/>
        <v>-707.10548012027505</v>
      </c>
      <c r="E79" s="5">
        <f t="shared" si="5"/>
        <v>-1791.4906510848941</v>
      </c>
      <c r="F79" s="23">
        <f t="shared" si="7"/>
        <v>414229.93009252474</v>
      </c>
    </row>
    <row r="80" spans="1:6" x14ac:dyDescent="0.25">
      <c r="A80">
        <v>69</v>
      </c>
      <c r="C80" s="5">
        <f t="shared" si="6"/>
        <v>-2498.5961312051695</v>
      </c>
      <c r="D80" s="5">
        <f t="shared" si="4"/>
        <v>-710.15840803069432</v>
      </c>
      <c r="E80" s="5">
        <f t="shared" si="5"/>
        <v>-1788.437723174475</v>
      </c>
      <c r="F80" s="23">
        <f t="shared" si="7"/>
        <v>413519.77168449404</v>
      </c>
    </row>
    <row r="81" spans="1:6" x14ac:dyDescent="0.25">
      <c r="A81">
        <v>70</v>
      </c>
      <c r="C81" s="5">
        <f t="shared" si="6"/>
        <v>-2498.5961312051695</v>
      </c>
      <c r="D81" s="5">
        <f t="shared" si="4"/>
        <v>-713.22451695736686</v>
      </c>
      <c r="E81" s="5">
        <f t="shared" si="5"/>
        <v>-1785.3716142478027</v>
      </c>
      <c r="F81" s="23">
        <f t="shared" si="7"/>
        <v>412806.54716753669</v>
      </c>
    </row>
    <row r="82" spans="1:6" x14ac:dyDescent="0.25">
      <c r="A82">
        <v>71</v>
      </c>
      <c r="C82" s="5">
        <f t="shared" si="6"/>
        <v>-2498.5961312051695</v>
      </c>
      <c r="D82" s="5">
        <f t="shared" si="4"/>
        <v>-716.30386380933044</v>
      </c>
      <c r="E82" s="5">
        <f t="shared" si="5"/>
        <v>-1782.292267395839</v>
      </c>
      <c r="F82" s="23">
        <f t="shared" si="7"/>
        <v>412090.24330372736</v>
      </c>
    </row>
    <row r="83" spans="1:6" x14ac:dyDescent="0.25">
      <c r="A83">
        <v>72</v>
      </c>
      <c r="C83" s="5">
        <f t="shared" si="6"/>
        <v>-2498.5961312051695</v>
      </c>
      <c r="D83" s="5">
        <f t="shared" si="4"/>
        <v>-719.39650574132702</v>
      </c>
      <c r="E83" s="5">
        <f t="shared" si="5"/>
        <v>-1779.1996254638425</v>
      </c>
      <c r="F83" s="23">
        <f t="shared" si="7"/>
        <v>411370.84679798601</v>
      </c>
    </row>
    <row r="84" spans="1:6" x14ac:dyDescent="0.25">
      <c r="A84">
        <v>73</v>
      </c>
      <c r="C84" s="5">
        <f t="shared" si="6"/>
        <v>-2498.5961312051695</v>
      </c>
      <c r="D84" s="5">
        <f t="shared" si="4"/>
        <v>-722.50250015486529</v>
      </c>
      <c r="E84" s="5">
        <f t="shared" si="5"/>
        <v>-1776.0936310503041</v>
      </c>
      <c r="F84" s="23">
        <f t="shared" si="7"/>
        <v>410648.34429783112</v>
      </c>
    </row>
    <row r="85" spans="1:6" x14ac:dyDescent="0.25">
      <c r="A85">
        <v>74</v>
      </c>
      <c r="C85" s="5">
        <f t="shared" si="6"/>
        <v>-2498.5961312051695</v>
      </c>
      <c r="D85" s="5">
        <f t="shared" si="4"/>
        <v>-725.62190469928396</v>
      </c>
      <c r="E85" s="5">
        <f t="shared" si="5"/>
        <v>-1772.9742265058858</v>
      </c>
      <c r="F85" s="23">
        <f t="shared" si="7"/>
        <v>409922.72239313181</v>
      </c>
    </row>
    <row r="86" spans="1:6" x14ac:dyDescent="0.25">
      <c r="A86">
        <v>75</v>
      </c>
      <c r="C86" s="5">
        <f t="shared" si="6"/>
        <v>-2498.5961312051695</v>
      </c>
      <c r="D86" s="5">
        <f t="shared" si="4"/>
        <v>-728.75477727282293</v>
      </c>
      <c r="E86" s="5">
        <f t="shared" si="5"/>
        <v>-1769.8413539323465</v>
      </c>
      <c r="F86" s="23">
        <f t="shared" si="7"/>
        <v>409193.967615859</v>
      </c>
    </row>
    <row r="87" spans="1:6" x14ac:dyDescent="0.25">
      <c r="A87">
        <v>76</v>
      </c>
      <c r="C87" s="5">
        <f t="shared" si="6"/>
        <v>-2498.5961312051695</v>
      </c>
      <c r="D87" s="5">
        <f t="shared" si="4"/>
        <v>-731.90117602369844</v>
      </c>
      <c r="E87" s="5">
        <f t="shared" si="5"/>
        <v>-1766.6949551814707</v>
      </c>
      <c r="F87" s="23">
        <f t="shared" si="7"/>
        <v>408462.0664398353</v>
      </c>
    </row>
    <row r="88" spans="1:6" x14ac:dyDescent="0.25">
      <c r="A88">
        <v>77</v>
      </c>
      <c r="C88" s="5">
        <f t="shared" si="6"/>
        <v>-2498.5961312051695</v>
      </c>
      <c r="D88" s="5">
        <f t="shared" si="4"/>
        <v>-735.06115935118066</v>
      </c>
      <c r="E88" s="5">
        <f t="shared" si="5"/>
        <v>-1763.5349718539885</v>
      </c>
      <c r="F88" s="23">
        <f t="shared" si="7"/>
        <v>407727.0052804841</v>
      </c>
    </row>
    <row r="89" spans="1:6" x14ac:dyDescent="0.25">
      <c r="A89">
        <v>78</v>
      </c>
      <c r="C89" s="5">
        <f t="shared" si="6"/>
        <v>-2498.5961312051695</v>
      </c>
      <c r="D89" s="5">
        <f t="shared" si="4"/>
        <v>-738.23478590667935</v>
      </c>
      <c r="E89" s="5">
        <f t="shared" si="5"/>
        <v>-1760.3613452984898</v>
      </c>
      <c r="F89" s="23">
        <f t="shared" si="7"/>
        <v>406988.77049457742</v>
      </c>
    </row>
    <row r="90" spans="1:6" x14ac:dyDescent="0.25">
      <c r="A90">
        <v>79</v>
      </c>
      <c r="C90" s="5">
        <f t="shared" si="6"/>
        <v>-2498.5961312051695</v>
      </c>
      <c r="D90" s="5">
        <f t="shared" si="4"/>
        <v>-741.42211459483156</v>
      </c>
      <c r="E90" s="5">
        <f t="shared" si="5"/>
        <v>-1757.1740166103377</v>
      </c>
      <c r="F90" s="23">
        <f t="shared" si="7"/>
        <v>406247.34837998258</v>
      </c>
    </row>
    <row r="91" spans="1:6" x14ac:dyDescent="0.25">
      <c r="A91">
        <v>80</v>
      </c>
      <c r="C91" s="5">
        <f t="shared" si="6"/>
        <v>-2498.5961312051695</v>
      </c>
      <c r="D91" s="5">
        <f t="shared" si="4"/>
        <v>-744.62320457459475</v>
      </c>
      <c r="E91" s="5">
        <f t="shared" si="5"/>
        <v>-1753.9729266305749</v>
      </c>
      <c r="F91" s="23">
        <f t="shared" si="7"/>
        <v>405502.72517540801</v>
      </c>
    </row>
    <row r="92" spans="1:6" x14ac:dyDescent="0.25">
      <c r="A92">
        <v>81</v>
      </c>
      <c r="C92" s="5">
        <f t="shared" si="6"/>
        <v>-2498.5961312051695</v>
      </c>
      <c r="D92" s="5">
        <f t="shared" si="4"/>
        <v>-747.83811526034549</v>
      </c>
      <c r="E92" s="5">
        <f t="shared" si="5"/>
        <v>-1750.7580159448239</v>
      </c>
      <c r="F92" s="23">
        <f t="shared" si="7"/>
        <v>404754.88706014765</v>
      </c>
    </row>
    <row r="93" spans="1:6" x14ac:dyDescent="0.25">
      <c r="A93">
        <v>82</v>
      </c>
      <c r="C93" s="5">
        <f t="shared" si="6"/>
        <v>-2498.5961312051695</v>
      </c>
      <c r="D93" s="5">
        <f t="shared" si="4"/>
        <v>-751.06690632298216</v>
      </c>
      <c r="E93" s="5">
        <f t="shared" si="5"/>
        <v>-1747.5292248821872</v>
      </c>
      <c r="F93" s="23">
        <f t="shared" si="7"/>
        <v>404003.82015382469</v>
      </c>
    </row>
    <row r="94" spans="1:6" x14ac:dyDescent="0.25">
      <c r="A94">
        <v>83</v>
      </c>
      <c r="C94" s="5">
        <f t="shared" si="6"/>
        <v>-2498.5961312051695</v>
      </c>
      <c r="D94" s="5">
        <f t="shared" si="4"/>
        <v>-754.30963769103164</v>
      </c>
      <c r="E94" s="5">
        <f t="shared" si="5"/>
        <v>-1744.2864935141376</v>
      </c>
      <c r="F94" s="23">
        <f t="shared" si="7"/>
        <v>403249.51051613368</v>
      </c>
    </row>
    <row r="95" spans="1:6" x14ac:dyDescent="0.25">
      <c r="A95">
        <v>84</v>
      </c>
      <c r="C95" s="5">
        <f t="shared" si="6"/>
        <v>-2498.5961312051695</v>
      </c>
      <c r="D95" s="5">
        <f t="shared" si="4"/>
        <v>-757.56636955176259</v>
      </c>
      <c r="E95" s="5">
        <f t="shared" si="5"/>
        <v>-1741.0297616534067</v>
      </c>
      <c r="F95" s="23">
        <f t="shared" si="7"/>
        <v>402491.94414658193</v>
      </c>
    </row>
    <row r="96" spans="1:6" x14ac:dyDescent="0.25">
      <c r="A96">
        <v>85</v>
      </c>
      <c r="C96" s="5">
        <f t="shared" si="6"/>
        <v>-2498.5961312051695</v>
      </c>
      <c r="D96" s="5">
        <f t="shared" si="4"/>
        <v>-760.83716235230236</v>
      </c>
      <c r="E96" s="5">
        <f t="shared" si="5"/>
        <v>-1737.7589688528667</v>
      </c>
      <c r="F96" s="23">
        <f t="shared" si="7"/>
        <v>401731.10698422964</v>
      </c>
    </row>
    <row r="97" spans="1:6" x14ac:dyDescent="0.25">
      <c r="A97">
        <v>86</v>
      </c>
      <c r="C97" s="5">
        <f t="shared" si="6"/>
        <v>-2498.5961312051695</v>
      </c>
      <c r="D97" s="5">
        <f t="shared" si="4"/>
        <v>-764.12207680075846</v>
      </c>
      <c r="E97" s="5">
        <f t="shared" si="5"/>
        <v>-1734.4740544044107</v>
      </c>
      <c r="F97" s="23">
        <f t="shared" si="7"/>
        <v>400966.98490742891</v>
      </c>
    </row>
    <row r="98" spans="1:6" x14ac:dyDescent="0.25">
      <c r="A98">
        <v>87</v>
      </c>
      <c r="C98" s="5">
        <f t="shared" si="6"/>
        <v>-2498.5961312051695</v>
      </c>
      <c r="D98" s="5">
        <f t="shared" si="4"/>
        <v>-767.42117386734571</v>
      </c>
      <c r="E98" s="5">
        <f t="shared" si="5"/>
        <v>-1731.1749573378236</v>
      </c>
      <c r="F98" s="23">
        <f t="shared" si="7"/>
        <v>400199.56373356155</v>
      </c>
    </row>
    <row r="99" spans="1:6" x14ac:dyDescent="0.25">
      <c r="A99">
        <v>88</v>
      </c>
      <c r="C99" s="5">
        <f t="shared" si="6"/>
        <v>-2498.5961312051695</v>
      </c>
      <c r="D99" s="5">
        <f t="shared" si="4"/>
        <v>-770.73451478551794</v>
      </c>
      <c r="E99" s="5">
        <f t="shared" si="5"/>
        <v>-1727.8616164196515</v>
      </c>
      <c r="F99" s="23">
        <f t="shared" si="7"/>
        <v>399428.82921877602</v>
      </c>
    </row>
    <row r="100" spans="1:6" x14ac:dyDescent="0.25">
      <c r="A100">
        <v>89</v>
      </c>
      <c r="C100" s="5">
        <f t="shared" si="6"/>
        <v>-2498.5961312051695</v>
      </c>
      <c r="D100" s="5">
        <f t="shared" si="4"/>
        <v>-774.06216105310443</v>
      </c>
      <c r="E100" s="5">
        <f t="shared" si="5"/>
        <v>-1724.533970152065</v>
      </c>
      <c r="F100" s="23">
        <f t="shared" si="7"/>
        <v>398654.7670577229</v>
      </c>
    </row>
    <row r="101" spans="1:6" x14ac:dyDescent="0.25">
      <c r="A101">
        <v>90</v>
      </c>
      <c r="C101" s="5">
        <f t="shared" si="6"/>
        <v>-2498.5961312051695</v>
      </c>
      <c r="D101" s="5">
        <f t="shared" si="4"/>
        <v>-777.4041744334512</v>
      </c>
      <c r="E101" s="5">
        <f t="shared" si="5"/>
        <v>-1721.1919567717184</v>
      </c>
      <c r="F101" s="23">
        <f t="shared" si="7"/>
        <v>397877.36288328946</v>
      </c>
    </row>
    <row r="102" spans="1:6" x14ac:dyDescent="0.25">
      <c r="A102">
        <v>91</v>
      </c>
      <c r="C102" s="5">
        <f t="shared" si="6"/>
        <v>-2498.5961312051695</v>
      </c>
      <c r="D102" s="5">
        <f t="shared" si="4"/>
        <v>-780.76061695656756</v>
      </c>
      <c r="E102" s="5">
        <f t="shared" si="5"/>
        <v>-1717.8355142486018</v>
      </c>
      <c r="F102" s="23">
        <f t="shared" si="7"/>
        <v>397096.60226633289</v>
      </c>
    </row>
    <row r="103" spans="1:6" x14ac:dyDescent="0.25">
      <c r="A103">
        <v>92</v>
      </c>
      <c r="C103" s="5">
        <f t="shared" si="6"/>
        <v>-2498.5961312051695</v>
      </c>
      <c r="D103" s="5">
        <f t="shared" si="4"/>
        <v>-784.1315509202775</v>
      </c>
      <c r="E103" s="5">
        <f t="shared" si="5"/>
        <v>-1714.4645802848918</v>
      </c>
      <c r="F103" s="23">
        <f t="shared" si="7"/>
        <v>396312.47071541264</v>
      </c>
    </row>
    <row r="104" spans="1:6" x14ac:dyDescent="0.25">
      <c r="A104">
        <v>93</v>
      </c>
      <c r="C104" s="5">
        <f t="shared" si="6"/>
        <v>-2498.5961312051695</v>
      </c>
      <c r="D104" s="5">
        <f t="shared" si="4"/>
        <v>-787.51703889137593</v>
      </c>
      <c r="E104" s="5">
        <f t="shared" si="5"/>
        <v>-1711.0790923137934</v>
      </c>
      <c r="F104" s="23">
        <f t="shared" si="7"/>
        <v>395524.95367652125</v>
      </c>
    </row>
    <row r="105" spans="1:6" x14ac:dyDescent="0.25">
      <c r="A105">
        <v>94</v>
      </c>
      <c r="C105" s="5">
        <f t="shared" si="6"/>
        <v>-2498.5961312051695</v>
      </c>
      <c r="D105" s="5">
        <f t="shared" si="4"/>
        <v>-790.91714370678937</v>
      </c>
      <c r="E105" s="5">
        <f t="shared" si="5"/>
        <v>-1707.6789874983801</v>
      </c>
      <c r="F105" s="23">
        <f t="shared" si="7"/>
        <v>394734.03653281444</v>
      </c>
    </row>
    <row r="106" spans="1:6" x14ac:dyDescent="0.25">
      <c r="A106">
        <v>95</v>
      </c>
      <c r="C106" s="5">
        <f t="shared" si="6"/>
        <v>-2498.5961312051695</v>
      </c>
      <c r="D106" s="5">
        <f t="shared" si="4"/>
        <v>-794.33192847474334</v>
      </c>
      <c r="E106" s="5">
        <f t="shared" si="5"/>
        <v>-1704.2642027304259</v>
      </c>
      <c r="F106" s="23">
        <f t="shared" si="7"/>
        <v>393939.70460433967</v>
      </c>
    </row>
    <row r="107" spans="1:6" x14ac:dyDescent="0.25">
      <c r="A107">
        <v>96</v>
      </c>
      <c r="C107" s="5">
        <f t="shared" si="6"/>
        <v>-2498.5961312051695</v>
      </c>
      <c r="D107" s="5">
        <f t="shared" si="4"/>
        <v>-797.76145657593315</v>
      </c>
      <c r="E107" s="5">
        <f t="shared" si="5"/>
        <v>-1700.8346746292364</v>
      </c>
      <c r="F107" s="23">
        <f t="shared" si="7"/>
        <v>393141.94314776373</v>
      </c>
    </row>
    <row r="108" spans="1:6" x14ac:dyDescent="0.25">
      <c r="A108">
        <v>97</v>
      </c>
      <c r="C108" s="5">
        <f t="shared" si="6"/>
        <v>-2498.5961312051695</v>
      </c>
      <c r="D108" s="5">
        <f t="shared" si="4"/>
        <v>-801.20579166469986</v>
      </c>
      <c r="E108" s="5">
        <f t="shared" si="5"/>
        <v>-1697.3903395404695</v>
      </c>
      <c r="F108" s="23">
        <f t="shared" si="7"/>
        <v>392340.73735609901</v>
      </c>
    </row>
    <row r="109" spans="1:6" x14ac:dyDescent="0.25">
      <c r="A109">
        <v>98</v>
      </c>
      <c r="C109" s="5">
        <f t="shared" si="6"/>
        <v>-2498.5961312051695</v>
      </c>
      <c r="D109" s="5">
        <f t="shared" si="4"/>
        <v>-804.66499767021219</v>
      </c>
      <c r="E109" s="5">
        <f t="shared" si="5"/>
        <v>-1693.9311335349573</v>
      </c>
      <c r="F109" s="23">
        <f t="shared" si="7"/>
        <v>391536.07235842879</v>
      </c>
    </row>
    <row r="110" spans="1:6" x14ac:dyDescent="0.25">
      <c r="A110">
        <v>99</v>
      </c>
      <c r="C110" s="5">
        <f t="shared" si="6"/>
        <v>-2498.5961312051695</v>
      </c>
      <c r="D110" s="5">
        <f t="shared" si="4"/>
        <v>-808.13913879765335</v>
      </c>
      <c r="E110" s="5">
        <f t="shared" si="5"/>
        <v>-1690.4569924075161</v>
      </c>
      <c r="F110" s="23">
        <f t="shared" si="7"/>
        <v>390727.93321963114</v>
      </c>
    </row>
    <row r="111" spans="1:6" x14ac:dyDescent="0.25">
      <c r="A111">
        <v>100</v>
      </c>
      <c r="C111" s="5">
        <f t="shared" si="6"/>
        <v>-2498.5961312051695</v>
      </c>
      <c r="D111" s="5">
        <f t="shared" si="4"/>
        <v>-811.62827952941223</v>
      </c>
      <c r="E111" s="5">
        <f t="shared" si="5"/>
        <v>-1686.9678516757572</v>
      </c>
      <c r="F111" s="23">
        <f t="shared" si="7"/>
        <v>389916.30494010175</v>
      </c>
    </row>
    <row r="112" spans="1:6" x14ac:dyDescent="0.25">
      <c r="A112">
        <v>101</v>
      </c>
      <c r="C112" s="5">
        <f t="shared" si="6"/>
        <v>-2498.5961312051695</v>
      </c>
      <c r="D112" s="5">
        <f t="shared" si="4"/>
        <v>-815.13248462628042</v>
      </c>
      <c r="E112" s="5">
        <f t="shared" si="5"/>
        <v>-1683.4636465788888</v>
      </c>
      <c r="F112" s="23">
        <f t="shared" si="7"/>
        <v>389101.17245547549</v>
      </c>
    </row>
    <row r="113" spans="1:6" x14ac:dyDescent="0.25">
      <c r="A113">
        <v>102</v>
      </c>
      <c r="C113" s="5">
        <f t="shared" si="6"/>
        <v>-2498.5961312051695</v>
      </c>
      <c r="D113" s="5">
        <f t="shared" si="4"/>
        <v>-818.65181912865432</v>
      </c>
      <c r="E113" s="5">
        <f t="shared" si="5"/>
        <v>-1679.944312076515</v>
      </c>
      <c r="F113" s="23">
        <f t="shared" si="7"/>
        <v>388282.52063634683</v>
      </c>
    </row>
    <row r="114" spans="1:6" x14ac:dyDescent="0.25">
      <c r="A114">
        <v>103</v>
      </c>
      <c r="C114" s="5">
        <f t="shared" si="6"/>
        <v>-2498.5961312051695</v>
      </c>
      <c r="D114" s="5">
        <f t="shared" si="4"/>
        <v>-822.1863483577423</v>
      </c>
      <c r="E114" s="5">
        <f t="shared" si="5"/>
        <v>-1676.4097828474271</v>
      </c>
      <c r="F114" s="23">
        <f t="shared" si="7"/>
        <v>387460.33428798907</v>
      </c>
    </row>
    <row r="115" spans="1:6" x14ac:dyDescent="0.25">
      <c r="A115">
        <v>104</v>
      </c>
      <c r="C115" s="5">
        <f t="shared" si="6"/>
        <v>-2498.5961312051695</v>
      </c>
      <c r="D115" s="5">
        <f t="shared" si="4"/>
        <v>-825.7361379167769</v>
      </c>
      <c r="E115" s="5">
        <f t="shared" si="5"/>
        <v>-1672.8599932883926</v>
      </c>
      <c r="F115" s="23">
        <f t="shared" si="7"/>
        <v>386634.59815007227</v>
      </c>
    </row>
    <row r="116" spans="1:6" x14ac:dyDescent="0.25">
      <c r="A116">
        <v>105</v>
      </c>
      <c r="C116" s="5">
        <f t="shared" si="6"/>
        <v>-2498.5961312051695</v>
      </c>
      <c r="D116" s="5">
        <f t="shared" si="4"/>
        <v>-829.30125369223254</v>
      </c>
      <c r="E116" s="5">
        <f t="shared" si="5"/>
        <v>-1669.2948775129366</v>
      </c>
      <c r="F116" s="23">
        <f t="shared" si="7"/>
        <v>385805.29689638002</v>
      </c>
    </row>
    <row r="117" spans="1:6" x14ac:dyDescent="0.25">
      <c r="A117">
        <v>106</v>
      </c>
      <c r="C117" s="5">
        <f t="shared" si="6"/>
        <v>-2498.5961312051695</v>
      </c>
      <c r="D117" s="5">
        <f t="shared" si="4"/>
        <v>-832.88176185504881</v>
      </c>
      <c r="E117" s="5">
        <f t="shared" si="5"/>
        <v>-1665.7143693501205</v>
      </c>
      <c r="F117" s="23">
        <f t="shared" si="7"/>
        <v>384972.41513452498</v>
      </c>
    </row>
    <row r="118" spans="1:6" x14ac:dyDescent="0.25">
      <c r="A118">
        <v>107</v>
      </c>
      <c r="C118" s="5">
        <f t="shared" si="6"/>
        <v>-2498.5961312051695</v>
      </c>
      <c r="D118" s="5">
        <f t="shared" si="4"/>
        <v>-836.47772886185794</v>
      </c>
      <c r="E118" s="5">
        <f t="shared" si="5"/>
        <v>-1662.1184023433113</v>
      </c>
      <c r="F118" s="23">
        <f t="shared" si="7"/>
        <v>384135.93740566313</v>
      </c>
    </row>
    <row r="119" spans="1:6" x14ac:dyDescent="0.25">
      <c r="A119">
        <v>108</v>
      </c>
      <c r="C119" s="5">
        <f t="shared" si="6"/>
        <v>-2498.5961312051695</v>
      </c>
      <c r="D119" s="5">
        <f t="shared" si="4"/>
        <v>-840.08922145621898</v>
      </c>
      <c r="E119" s="5">
        <f t="shared" si="5"/>
        <v>-1658.5069097489504</v>
      </c>
      <c r="F119" s="23">
        <f t="shared" si="7"/>
        <v>383295.84818420693</v>
      </c>
    </row>
    <row r="120" spans="1:6" x14ac:dyDescent="0.25">
      <c r="A120">
        <v>109</v>
      </c>
      <c r="C120" s="5">
        <f t="shared" si="6"/>
        <v>-2498.5961312051695</v>
      </c>
      <c r="D120" s="5">
        <f t="shared" si="4"/>
        <v>-843.71630666985629</v>
      </c>
      <c r="E120" s="5">
        <f t="shared" si="5"/>
        <v>-1654.8798245353132</v>
      </c>
      <c r="F120" s="23">
        <f t="shared" si="7"/>
        <v>382452.13187753706</v>
      </c>
    </row>
    <row r="121" spans="1:6" x14ac:dyDescent="0.25">
      <c r="A121">
        <v>110</v>
      </c>
      <c r="C121" s="5">
        <f t="shared" si="6"/>
        <v>-2498.5961312051695</v>
      </c>
      <c r="D121" s="5">
        <f t="shared" si="4"/>
        <v>-847.3590518239032</v>
      </c>
      <c r="E121" s="5">
        <f t="shared" si="5"/>
        <v>-1651.2370793812661</v>
      </c>
      <c r="F121" s="23">
        <f t="shared" si="7"/>
        <v>381604.77282571315</v>
      </c>
    </row>
    <row r="122" spans="1:6" x14ac:dyDescent="0.25">
      <c r="A122">
        <v>111</v>
      </c>
      <c r="C122" s="5">
        <f t="shared" si="6"/>
        <v>-2498.5961312051695</v>
      </c>
      <c r="D122" s="5">
        <f t="shared" si="4"/>
        <v>-851.01752453015297</v>
      </c>
      <c r="E122" s="5">
        <f t="shared" si="5"/>
        <v>-1647.5786066750163</v>
      </c>
      <c r="F122" s="23">
        <f t="shared" si="7"/>
        <v>380753.75530118297</v>
      </c>
    </row>
    <row r="123" spans="1:6" x14ac:dyDescent="0.25">
      <c r="A123">
        <v>112</v>
      </c>
      <c r="C123" s="5">
        <f t="shared" si="6"/>
        <v>-2498.5961312051695</v>
      </c>
      <c r="D123" s="5">
        <f t="shared" si="4"/>
        <v>-854.69179269231176</v>
      </c>
      <c r="E123" s="5">
        <f t="shared" si="5"/>
        <v>-1643.9043385128573</v>
      </c>
      <c r="F123" s="23">
        <f t="shared" si="7"/>
        <v>379899.06350849068</v>
      </c>
    </row>
    <row r="124" spans="1:6" x14ac:dyDescent="0.25">
      <c r="A124">
        <v>113</v>
      </c>
      <c r="C124" s="5">
        <f t="shared" si="6"/>
        <v>-2498.5961312051695</v>
      </c>
      <c r="D124" s="5">
        <f t="shared" si="4"/>
        <v>-858.38192450726092</v>
      </c>
      <c r="E124" s="5">
        <f t="shared" si="5"/>
        <v>-1640.2142066979084</v>
      </c>
      <c r="F124" s="23">
        <f t="shared" si="7"/>
        <v>379040.68158398342</v>
      </c>
    </row>
    <row r="125" spans="1:6" x14ac:dyDescent="0.25">
      <c r="A125">
        <v>114</v>
      </c>
      <c r="C125" s="5">
        <f t="shared" si="6"/>
        <v>-2498.5961312051695</v>
      </c>
      <c r="D125" s="5">
        <f t="shared" si="4"/>
        <v>-862.08798846632124</v>
      </c>
      <c r="E125" s="5">
        <f t="shared" si="5"/>
        <v>-1636.5081427388482</v>
      </c>
      <c r="F125" s="23">
        <f t="shared" si="7"/>
        <v>378178.5935955171</v>
      </c>
    </row>
    <row r="126" spans="1:6" x14ac:dyDescent="0.25">
      <c r="A126">
        <v>115</v>
      </c>
      <c r="C126" s="5">
        <f t="shared" si="6"/>
        <v>-2498.5961312051695</v>
      </c>
      <c r="D126" s="5">
        <f t="shared" si="4"/>
        <v>-865.81005335652458</v>
      </c>
      <c r="E126" s="5">
        <f t="shared" si="5"/>
        <v>-1632.7860778486449</v>
      </c>
      <c r="F126" s="23">
        <f t="shared" si="7"/>
        <v>377312.78354216059</v>
      </c>
    </row>
    <row r="127" spans="1:6" x14ac:dyDescent="0.25">
      <c r="A127">
        <v>116</v>
      </c>
      <c r="C127" s="5">
        <f t="shared" si="6"/>
        <v>-2498.5961312051695</v>
      </c>
      <c r="D127" s="5">
        <f t="shared" si="4"/>
        <v>-869.54818826189137</v>
      </c>
      <c r="E127" s="5">
        <f t="shared" si="5"/>
        <v>-1629.047942943278</v>
      </c>
      <c r="F127" s="23">
        <f t="shared" si="7"/>
        <v>376443.23535389872</v>
      </c>
    </row>
    <row r="128" spans="1:6" x14ac:dyDescent="0.25">
      <c r="A128">
        <v>117</v>
      </c>
      <c r="C128" s="5">
        <f t="shared" si="6"/>
        <v>-2498.5961312051695</v>
      </c>
      <c r="D128" s="5">
        <f t="shared" si="4"/>
        <v>-873.30246256471196</v>
      </c>
      <c r="E128" s="5">
        <f t="shared" si="5"/>
        <v>-1625.2936686404573</v>
      </c>
      <c r="F128" s="23">
        <f t="shared" si="7"/>
        <v>375569.932891334</v>
      </c>
    </row>
    <row r="129" spans="1:6" x14ac:dyDescent="0.25">
      <c r="A129">
        <v>118</v>
      </c>
      <c r="C129" s="5">
        <f t="shared" si="6"/>
        <v>-2498.5961312051695</v>
      </c>
      <c r="D129" s="5">
        <f t="shared" si="4"/>
        <v>-877.07294594683526</v>
      </c>
      <c r="E129" s="5">
        <f t="shared" si="5"/>
        <v>-1621.523185258334</v>
      </c>
      <c r="F129" s="23">
        <f t="shared" si="7"/>
        <v>374692.85994538717</v>
      </c>
    </row>
    <row r="130" spans="1:6" x14ac:dyDescent="0.25">
      <c r="A130">
        <v>119</v>
      </c>
      <c r="C130" s="5">
        <f t="shared" si="6"/>
        <v>-2498.5961312051695</v>
      </c>
      <c r="D130" s="5">
        <f t="shared" si="4"/>
        <v>-880.85970839096058</v>
      </c>
      <c r="E130" s="5">
        <f t="shared" si="5"/>
        <v>-1617.7364228142087</v>
      </c>
      <c r="F130" s="23">
        <f t="shared" si="7"/>
        <v>373812.00023699622</v>
      </c>
    </row>
    <row r="131" spans="1:6" x14ac:dyDescent="0.25">
      <c r="A131">
        <v>120</v>
      </c>
      <c r="C131" s="5">
        <f t="shared" si="6"/>
        <v>-2498.5961312051695</v>
      </c>
      <c r="D131" s="5">
        <f t="shared" si="4"/>
        <v>-884.66282018193863</v>
      </c>
      <c r="E131" s="5">
        <f t="shared" si="5"/>
        <v>-1613.9333110232305</v>
      </c>
      <c r="F131" s="23">
        <f t="shared" si="7"/>
        <v>372927.33741681429</v>
      </c>
    </row>
    <row r="132" spans="1:6" x14ac:dyDescent="0.25">
      <c r="A132">
        <v>121</v>
      </c>
      <c r="C132" s="5">
        <f t="shared" si="6"/>
        <v>-2498.5961312051695</v>
      </c>
      <c r="D132" s="5">
        <f t="shared" si="4"/>
        <v>-888.48235190807407</v>
      </c>
      <c r="E132" s="5">
        <f t="shared" si="5"/>
        <v>-1610.1137792970953</v>
      </c>
      <c r="F132" s="23">
        <f t="shared" si="7"/>
        <v>372038.85506490624</v>
      </c>
    </row>
    <row r="133" spans="1:6" x14ac:dyDescent="0.25">
      <c r="A133">
        <v>122</v>
      </c>
      <c r="C133" s="5">
        <f t="shared" si="6"/>
        <v>-2498.5961312051695</v>
      </c>
      <c r="D133" s="5">
        <f t="shared" si="4"/>
        <v>-892.31837446243708</v>
      </c>
      <c r="E133" s="5">
        <f t="shared" si="5"/>
        <v>-1606.2777567427322</v>
      </c>
      <c r="F133" s="23">
        <f t="shared" si="7"/>
        <v>371146.53669044381</v>
      </c>
    </row>
    <row r="134" spans="1:6" x14ac:dyDescent="0.25">
      <c r="A134">
        <v>123</v>
      </c>
      <c r="C134" s="5">
        <f t="shared" si="6"/>
        <v>-2498.5961312051695</v>
      </c>
      <c r="D134" s="5">
        <f t="shared" si="4"/>
        <v>-896.17095904417874</v>
      </c>
      <c r="E134" s="5">
        <f t="shared" si="5"/>
        <v>-1602.4251721609908</v>
      </c>
      <c r="F134" s="23">
        <f t="shared" si="7"/>
        <v>370250.36573139962</v>
      </c>
    </row>
    <row r="135" spans="1:6" x14ac:dyDescent="0.25">
      <c r="A135">
        <v>124</v>
      </c>
      <c r="C135" s="5">
        <f t="shared" si="6"/>
        <v>-2498.5961312051695</v>
      </c>
      <c r="D135" s="5">
        <f t="shared" si="4"/>
        <v>-900.04017715985208</v>
      </c>
      <c r="E135" s="5">
        <f t="shared" si="5"/>
        <v>-1598.5559540453173</v>
      </c>
      <c r="F135" s="23">
        <f t="shared" si="7"/>
        <v>369350.3255542398</v>
      </c>
    </row>
    <row r="136" spans="1:6" x14ac:dyDescent="0.25">
      <c r="A136">
        <v>125</v>
      </c>
      <c r="C136" s="5">
        <f t="shared" si="6"/>
        <v>-2498.5961312051695</v>
      </c>
      <c r="D136" s="5">
        <f t="shared" si="4"/>
        <v>-903.92610062473955</v>
      </c>
      <c r="E136" s="5">
        <f t="shared" si="5"/>
        <v>-1594.6700305804297</v>
      </c>
      <c r="F136" s="23">
        <f t="shared" si="7"/>
        <v>368446.39945361507</v>
      </c>
    </row>
    <row r="137" spans="1:6" x14ac:dyDescent="0.25">
      <c r="A137">
        <v>126</v>
      </c>
      <c r="C137" s="5">
        <f t="shared" si="6"/>
        <v>-2498.5961312051695</v>
      </c>
      <c r="D137" s="5">
        <f t="shared" si="4"/>
        <v>-907.82880156418696</v>
      </c>
      <c r="E137" s="5">
        <f t="shared" si="5"/>
        <v>-1590.7673296409823</v>
      </c>
      <c r="F137" s="23">
        <f t="shared" si="7"/>
        <v>367538.5706520509</v>
      </c>
    </row>
    <row r="138" spans="1:6" x14ac:dyDescent="0.25">
      <c r="A138">
        <v>127</v>
      </c>
      <c r="C138" s="5">
        <f t="shared" si="6"/>
        <v>-2498.5961312051695</v>
      </c>
      <c r="D138" s="5">
        <f t="shared" si="4"/>
        <v>-911.7483524149402</v>
      </c>
      <c r="E138" s="5">
        <f t="shared" si="5"/>
        <v>-1586.8477787902293</v>
      </c>
      <c r="F138" s="23">
        <f t="shared" si="7"/>
        <v>366626.82229963597</v>
      </c>
    </row>
    <row r="139" spans="1:6" x14ac:dyDescent="0.25">
      <c r="A139">
        <v>128</v>
      </c>
      <c r="C139" s="5">
        <f t="shared" si="6"/>
        <v>-2498.5961312051695</v>
      </c>
      <c r="D139" s="5">
        <f t="shared" si="4"/>
        <v>-915.68482592649173</v>
      </c>
      <c r="E139" s="5">
        <f t="shared" si="5"/>
        <v>-1582.9113052786777</v>
      </c>
      <c r="F139" s="23">
        <f t="shared" si="7"/>
        <v>365711.13747370947</v>
      </c>
    </row>
    <row r="140" spans="1:6" x14ac:dyDescent="0.25">
      <c r="A140">
        <v>129</v>
      </c>
      <c r="C140" s="5">
        <f t="shared" si="6"/>
        <v>-2498.5961312051695</v>
      </c>
      <c r="D140" s="5">
        <f t="shared" ref="D140:D203" si="8">IFERROR(PPMT($C$2/$C$4,A140,$C$3*$C$4,$C$5),0)</f>
        <v>-919.63829516242936</v>
      </c>
      <c r="E140" s="5">
        <f t="shared" ref="E140:E203" si="9">IFERROR(IPMT($C$2/$C$4,A140,$C$3*$C$4,$C$5),0)</f>
        <v>-1578.9578360427395</v>
      </c>
      <c r="F140" s="23">
        <f t="shared" si="7"/>
        <v>364791.49917854706</v>
      </c>
    </row>
    <row r="141" spans="1:6" x14ac:dyDescent="0.25">
      <c r="A141">
        <v>130</v>
      </c>
      <c r="C141" s="5">
        <f t="shared" ref="C141:C204" si="10">PMT($C$2/$C$4,$C$3*$C$4,$C$5)</f>
        <v>-2498.5961312051695</v>
      </c>
      <c r="D141" s="5">
        <f t="shared" si="8"/>
        <v>-923.60883350179324</v>
      </c>
      <c r="E141" s="5">
        <f t="shared" si="9"/>
        <v>-1574.987297703376</v>
      </c>
      <c r="F141" s="23">
        <f t="shared" ref="F141:F204" si="11">IFERROR(F140+D141,0)</f>
        <v>363867.89034504525</v>
      </c>
    </row>
    <row r="142" spans="1:6" x14ac:dyDescent="0.25">
      <c r="A142">
        <v>131</v>
      </c>
      <c r="C142" s="5">
        <f t="shared" si="10"/>
        <v>-2498.5961312051695</v>
      </c>
      <c r="D142" s="5">
        <f t="shared" si="8"/>
        <v>-927.59651464043714</v>
      </c>
      <c r="E142" s="5">
        <f t="shared" si="9"/>
        <v>-1570.9996165647322</v>
      </c>
      <c r="F142" s="23">
        <f t="shared" si="11"/>
        <v>362940.29383040481</v>
      </c>
    </row>
    <row r="143" spans="1:6" x14ac:dyDescent="0.25">
      <c r="A143">
        <v>132</v>
      </c>
      <c r="C143" s="5">
        <f t="shared" si="10"/>
        <v>-2498.5961312051695</v>
      </c>
      <c r="D143" s="5">
        <f t="shared" si="8"/>
        <v>-931.60141259239731</v>
      </c>
      <c r="E143" s="5">
        <f t="shared" si="9"/>
        <v>-1566.9947186127722</v>
      </c>
      <c r="F143" s="23">
        <f t="shared" si="11"/>
        <v>362008.69241781242</v>
      </c>
    </row>
    <row r="144" spans="1:6" x14ac:dyDescent="0.25">
      <c r="A144">
        <v>133</v>
      </c>
      <c r="C144" s="5">
        <f t="shared" si="10"/>
        <v>-2498.5961312051695</v>
      </c>
      <c r="D144" s="5">
        <f t="shared" si="8"/>
        <v>-935.62360169126509</v>
      </c>
      <c r="E144" s="5">
        <f t="shared" si="9"/>
        <v>-1562.9725295139042</v>
      </c>
      <c r="F144" s="23">
        <f t="shared" si="11"/>
        <v>361073.06881612114</v>
      </c>
    </row>
    <row r="145" spans="1:6" x14ac:dyDescent="0.25">
      <c r="A145">
        <v>134</v>
      </c>
      <c r="C145" s="5">
        <f t="shared" si="10"/>
        <v>-2498.5961312051695</v>
      </c>
      <c r="D145" s="5">
        <f t="shared" si="8"/>
        <v>-939.66315659156703</v>
      </c>
      <c r="E145" s="5">
        <f t="shared" si="9"/>
        <v>-1558.9329746136023</v>
      </c>
      <c r="F145" s="23">
        <f t="shared" si="11"/>
        <v>360133.40565952956</v>
      </c>
    </row>
    <row r="146" spans="1:6" x14ac:dyDescent="0.25">
      <c r="A146">
        <v>135</v>
      </c>
      <c r="C146" s="5">
        <f t="shared" si="10"/>
        <v>-2498.5961312051695</v>
      </c>
      <c r="D146" s="5">
        <f t="shared" si="8"/>
        <v>-943.72015227015117</v>
      </c>
      <c r="E146" s="5">
        <f t="shared" si="9"/>
        <v>-1554.8759789350181</v>
      </c>
      <c r="F146" s="23">
        <f t="shared" si="11"/>
        <v>359189.68550725939</v>
      </c>
    </row>
    <row r="147" spans="1:6" x14ac:dyDescent="0.25">
      <c r="A147">
        <v>136</v>
      </c>
      <c r="C147" s="5">
        <f t="shared" si="10"/>
        <v>-2498.5961312051695</v>
      </c>
      <c r="D147" s="5">
        <f t="shared" si="8"/>
        <v>-947.7946640275776</v>
      </c>
      <c r="E147" s="5">
        <f t="shared" si="9"/>
        <v>-1550.8014671775918</v>
      </c>
      <c r="F147" s="23">
        <f t="shared" si="11"/>
        <v>358241.89084323181</v>
      </c>
    </row>
    <row r="148" spans="1:6" x14ac:dyDescent="0.25">
      <c r="A148">
        <v>137</v>
      </c>
      <c r="C148" s="5">
        <f t="shared" si="10"/>
        <v>-2498.5961312051695</v>
      </c>
      <c r="D148" s="5">
        <f t="shared" si="8"/>
        <v>-951.88676748951661</v>
      </c>
      <c r="E148" s="5">
        <f t="shared" si="9"/>
        <v>-1546.7093637156527</v>
      </c>
      <c r="F148" s="23">
        <f t="shared" si="11"/>
        <v>357290.00407574227</v>
      </c>
    </row>
    <row r="149" spans="1:6" x14ac:dyDescent="0.25">
      <c r="A149">
        <v>138</v>
      </c>
      <c r="C149" s="5">
        <f t="shared" si="10"/>
        <v>-2498.5961312051695</v>
      </c>
      <c r="D149" s="5">
        <f t="shared" si="8"/>
        <v>-955.9965386081526</v>
      </c>
      <c r="E149" s="5">
        <f t="shared" si="9"/>
        <v>-1542.5995925970171</v>
      </c>
      <c r="F149" s="23">
        <f t="shared" si="11"/>
        <v>356334.00753713411</v>
      </c>
    </row>
    <row r="150" spans="1:6" x14ac:dyDescent="0.25">
      <c r="A150">
        <v>139</v>
      </c>
      <c r="C150" s="5">
        <f t="shared" si="10"/>
        <v>-2498.5961312051695</v>
      </c>
      <c r="D150" s="5">
        <f t="shared" si="8"/>
        <v>-960.12405366359326</v>
      </c>
      <c r="E150" s="5">
        <f t="shared" si="9"/>
        <v>-1538.472077541576</v>
      </c>
      <c r="F150" s="23">
        <f t="shared" si="11"/>
        <v>355373.88348347053</v>
      </c>
    </row>
    <row r="151" spans="1:6" x14ac:dyDescent="0.25">
      <c r="A151">
        <v>140</v>
      </c>
      <c r="C151" s="5">
        <f t="shared" si="10"/>
        <v>-2498.5961312051695</v>
      </c>
      <c r="D151" s="5">
        <f t="shared" si="8"/>
        <v>-964.26938926528589</v>
      </c>
      <c r="E151" s="5">
        <f t="shared" si="9"/>
        <v>-1534.3267419398835</v>
      </c>
      <c r="F151" s="23">
        <f t="shared" si="11"/>
        <v>354409.61409420526</v>
      </c>
    </row>
    <row r="152" spans="1:6" x14ac:dyDescent="0.25">
      <c r="A152">
        <v>141</v>
      </c>
      <c r="C152" s="5">
        <f t="shared" si="10"/>
        <v>-2498.5961312051695</v>
      </c>
      <c r="D152" s="5">
        <f t="shared" si="8"/>
        <v>-968.43262235343877</v>
      </c>
      <c r="E152" s="5">
        <f t="shared" si="9"/>
        <v>-1530.1635088517307</v>
      </c>
      <c r="F152" s="23">
        <f t="shared" si="11"/>
        <v>353441.18147185183</v>
      </c>
    </row>
    <row r="153" spans="1:6" x14ac:dyDescent="0.25">
      <c r="A153">
        <v>142</v>
      </c>
      <c r="C153" s="5">
        <f t="shared" si="10"/>
        <v>-2498.5961312051695</v>
      </c>
      <c r="D153" s="5">
        <f t="shared" si="8"/>
        <v>-972.6138302004498</v>
      </c>
      <c r="E153" s="5">
        <f t="shared" si="9"/>
        <v>-1525.9823010047196</v>
      </c>
      <c r="F153" s="23">
        <f t="shared" si="11"/>
        <v>352468.56764165137</v>
      </c>
    </row>
    <row r="154" spans="1:6" x14ac:dyDescent="0.25">
      <c r="A154">
        <v>143</v>
      </c>
      <c r="C154" s="5">
        <f t="shared" si="10"/>
        <v>-2498.5961312051695</v>
      </c>
      <c r="D154" s="5">
        <f t="shared" si="8"/>
        <v>-976.8130904123401</v>
      </c>
      <c r="E154" s="5">
        <f t="shared" si="9"/>
        <v>-1521.7830407928291</v>
      </c>
      <c r="F154" s="23">
        <f t="shared" si="11"/>
        <v>351491.75455123902</v>
      </c>
    </row>
    <row r="155" spans="1:6" x14ac:dyDescent="0.25">
      <c r="A155">
        <v>144</v>
      </c>
      <c r="C155" s="5">
        <f t="shared" si="10"/>
        <v>-2498.5961312051695</v>
      </c>
      <c r="D155" s="5">
        <f t="shared" si="8"/>
        <v>-981.03048093019549</v>
      </c>
      <c r="E155" s="5">
        <f t="shared" si="9"/>
        <v>-1517.5656502749737</v>
      </c>
      <c r="F155" s="23">
        <f t="shared" si="11"/>
        <v>350510.72407030885</v>
      </c>
    </row>
    <row r="156" spans="1:6" x14ac:dyDescent="0.25">
      <c r="A156">
        <v>145</v>
      </c>
      <c r="C156" s="5">
        <f t="shared" si="10"/>
        <v>-2498.5961312051695</v>
      </c>
      <c r="D156" s="5">
        <f t="shared" si="8"/>
        <v>-985.26608003161152</v>
      </c>
      <c r="E156" s="5">
        <f t="shared" si="9"/>
        <v>-1513.3300511735581</v>
      </c>
      <c r="F156" s="23">
        <f t="shared" si="11"/>
        <v>349525.45799027721</v>
      </c>
    </row>
    <row r="157" spans="1:6" x14ac:dyDescent="0.25">
      <c r="A157">
        <v>146</v>
      </c>
      <c r="C157" s="5">
        <f t="shared" si="10"/>
        <v>-2498.5961312051695</v>
      </c>
      <c r="D157" s="5">
        <f t="shared" si="8"/>
        <v>-989.51996633214799</v>
      </c>
      <c r="E157" s="5">
        <f t="shared" si="9"/>
        <v>-1509.0761648730213</v>
      </c>
      <c r="F157" s="23">
        <f t="shared" si="11"/>
        <v>348535.93802394508</v>
      </c>
    </row>
    <row r="158" spans="1:6" x14ac:dyDescent="0.25">
      <c r="A158">
        <v>147</v>
      </c>
      <c r="C158" s="5">
        <f t="shared" si="10"/>
        <v>-2498.5961312051695</v>
      </c>
      <c r="D158" s="5">
        <f t="shared" si="8"/>
        <v>-993.79221878678698</v>
      </c>
      <c r="E158" s="5">
        <f t="shared" si="9"/>
        <v>-1504.8039124183824</v>
      </c>
      <c r="F158" s="23">
        <f t="shared" si="11"/>
        <v>347542.1458051583</v>
      </c>
    </row>
    <row r="159" spans="1:6" x14ac:dyDescent="0.25">
      <c r="A159">
        <v>148</v>
      </c>
      <c r="C159" s="5">
        <f t="shared" si="10"/>
        <v>-2498.5961312051695</v>
      </c>
      <c r="D159" s="5">
        <f t="shared" si="8"/>
        <v>-998.08291669139896</v>
      </c>
      <c r="E159" s="5">
        <f t="shared" si="9"/>
        <v>-1500.5132145137704</v>
      </c>
      <c r="F159" s="23">
        <f t="shared" si="11"/>
        <v>346544.06288846693</v>
      </c>
    </row>
    <row r="160" spans="1:6" x14ac:dyDescent="0.25">
      <c r="A160">
        <v>149</v>
      </c>
      <c r="C160" s="5">
        <f t="shared" si="10"/>
        <v>-2498.5961312051695</v>
      </c>
      <c r="D160" s="5">
        <f t="shared" si="8"/>
        <v>-1002.3921396842143</v>
      </c>
      <c r="E160" s="5">
        <f t="shared" si="9"/>
        <v>-1496.2039915209552</v>
      </c>
      <c r="F160" s="23">
        <f t="shared" si="11"/>
        <v>345541.67074878269</v>
      </c>
    </row>
    <row r="161" spans="1:6" x14ac:dyDescent="0.25">
      <c r="A161">
        <v>150</v>
      </c>
      <c r="C161" s="5">
        <f t="shared" si="10"/>
        <v>-2498.5961312051695</v>
      </c>
      <c r="D161" s="5">
        <f t="shared" si="8"/>
        <v>-1006.7199677473008</v>
      </c>
      <c r="E161" s="5">
        <f t="shared" si="9"/>
        <v>-1491.8761634578686</v>
      </c>
      <c r="F161" s="23">
        <f t="shared" si="11"/>
        <v>344534.95078103541</v>
      </c>
    </row>
    <row r="162" spans="1:6" x14ac:dyDescent="0.25">
      <c r="A162">
        <v>151</v>
      </c>
      <c r="C162" s="5">
        <f t="shared" si="10"/>
        <v>-2498.5961312051695</v>
      </c>
      <c r="D162" s="5">
        <f t="shared" si="8"/>
        <v>-1011.0664812080498</v>
      </c>
      <c r="E162" s="5">
        <f t="shared" si="9"/>
        <v>-1487.5296499971196</v>
      </c>
      <c r="F162" s="23">
        <f t="shared" si="11"/>
        <v>343523.88429982739</v>
      </c>
    </row>
    <row r="163" spans="1:6" x14ac:dyDescent="0.25">
      <c r="A163">
        <v>152</v>
      </c>
      <c r="C163" s="5">
        <f t="shared" si="10"/>
        <v>-2498.5961312051695</v>
      </c>
      <c r="D163" s="5">
        <f t="shared" si="8"/>
        <v>-1015.4317607406656</v>
      </c>
      <c r="E163" s="5">
        <f t="shared" si="9"/>
        <v>-1483.1643704645041</v>
      </c>
      <c r="F163" s="23">
        <f t="shared" si="11"/>
        <v>342508.45253908675</v>
      </c>
    </row>
    <row r="164" spans="1:6" x14ac:dyDescent="0.25">
      <c r="A164">
        <v>153</v>
      </c>
      <c r="C164" s="5">
        <f t="shared" si="10"/>
        <v>-2498.5961312051695</v>
      </c>
      <c r="D164" s="5">
        <f t="shared" si="8"/>
        <v>-1019.8158873676632</v>
      </c>
      <c r="E164" s="5">
        <f t="shared" si="9"/>
        <v>-1478.7802438375059</v>
      </c>
      <c r="F164" s="23">
        <f t="shared" si="11"/>
        <v>341488.63665171911</v>
      </c>
    </row>
    <row r="165" spans="1:6" x14ac:dyDescent="0.25">
      <c r="A165">
        <v>154</v>
      </c>
      <c r="C165" s="5">
        <f t="shared" si="10"/>
        <v>-2498.5961312051695</v>
      </c>
      <c r="D165" s="5">
        <f t="shared" si="8"/>
        <v>-1024.218942461373</v>
      </c>
      <c r="E165" s="5">
        <f t="shared" si="9"/>
        <v>-1474.3771887437965</v>
      </c>
      <c r="F165" s="23">
        <f t="shared" si="11"/>
        <v>340464.41770925774</v>
      </c>
    </row>
    <row r="166" spans="1:6" x14ac:dyDescent="0.25">
      <c r="A166">
        <v>155</v>
      </c>
      <c r="C166" s="5">
        <f t="shared" si="10"/>
        <v>-2498.5961312051695</v>
      </c>
      <c r="D166" s="5">
        <f t="shared" si="8"/>
        <v>-1028.6410077454502</v>
      </c>
      <c r="E166" s="5">
        <f t="shared" si="9"/>
        <v>-1469.9551234597193</v>
      </c>
      <c r="F166" s="23">
        <f t="shared" si="11"/>
        <v>339435.77670151228</v>
      </c>
    </row>
    <row r="167" spans="1:6" x14ac:dyDescent="0.25">
      <c r="A167">
        <v>156</v>
      </c>
      <c r="C167" s="5">
        <f t="shared" si="10"/>
        <v>-2498.5961312051695</v>
      </c>
      <c r="D167" s="5">
        <f t="shared" si="8"/>
        <v>-1033.0821652963909</v>
      </c>
      <c r="E167" s="5">
        <f t="shared" si="9"/>
        <v>-1465.5139659087783</v>
      </c>
      <c r="F167" s="23">
        <f t="shared" si="11"/>
        <v>338402.69453621592</v>
      </c>
    </row>
    <row r="168" spans="1:6" x14ac:dyDescent="0.25">
      <c r="A168">
        <v>157</v>
      </c>
      <c r="C168" s="5">
        <f t="shared" si="10"/>
        <v>-2498.5961312051695</v>
      </c>
      <c r="D168" s="5">
        <f t="shared" si="8"/>
        <v>-1037.5424975450583</v>
      </c>
      <c r="E168" s="5">
        <f t="shared" si="9"/>
        <v>-1461.053633660111</v>
      </c>
      <c r="F168" s="23">
        <f t="shared" si="11"/>
        <v>337365.15203867084</v>
      </c>
    </row>
    <row r="169" spans="1:6" x14ac:dyDescent="0.25">
      <c r="A169">
        <v>158</v>
      </c>
      <c r="C169" s="5">
        <f t="shared" si="10"/>
        <v>-2498.5961312051695</v>
      </c>
      <c r="D169" s="5">
        <f t="shared" si="8"/>
        <v>-1042.0220872782093</v>
      </c>
      <c r="E169" s="5">
        <f t="shared" si="9"/>
        <v>-1456.5740439269603</v>
      </c>
      <c r="F169" s="23">
        <f t="shared" si="11"/>
        <v>336323.12995139265</v>
      </c>
    </row>
    <row r="170" spans="1:6" x14ac:dyDescent="0.25">
      <c r="A170">
        <v>159</v>
      </c>
      <c r="C170" s="5">
        <f t="shared" si="10"/>
        <v>-2498.5961312051695</v>
      </c>
      <c r="D170" s="5">
        <f t="shared" si="8"/>
        <v>-1046.5210176400328</v>
      </c>
      <c r="E170" s="5">
        <f t="shared" si="9"/>
        <v>-1452.0751135651362</v>
      </c>
      <c r="F170" s="23">
        <f t="shared" si="11"/>
        <v>335276.60893375264</v>
      </c>
    </row>
    <row r="171" spans="1:6" x14ac:dyDescent="0.25">
      <c r="A171">
        <v>160</v>
      </c>
      <c r="C171" s="5">
        <f t="shared" si="10"/>
        <v>-2498.5961312051695</v>
      </c>
      <c r="D171" s="5">
        <f t="shared" si="8"/>
        <v>-1051.0393721336936</v>
      </c>
      <c r="E171" s="5">
        <f t="shared" si="9"/>
        <v>-1447.5567590714759</v>
      </c>
      <c r="F171" s="23">
        <f t="shared" si="11"/>
        <v>334225.56956161896</v>
      </c>
    </row>
    <row r="172" spans="1:6" x14ac:dyDescent="0.25">
      <c r="A172">
        <v>161</v>
      </c>
      <c r="C172" s="5">
        <f t="shared" si="10"/>
        <v>-2498.5961312051695</v>
      </c>
      <c r="D172" s="5">
        <f t="shared" si="8"/>
        <v>-1055.5772346228807</v>
      </c>
      <c r="E172" s="5">
        <f t="shared" si="9"/>
        <v>-1443.0188965822886</v>
      </c>
      <c r="F172" s="23">
        <f t="shared" si="11"/>
        <v>333169.99232699606</v>
      </c>
    </row>
    <row r="173" spans="1:6" x14ac:dyDescent="0.25">
      <c r="A173">
        <v>162</v>
      </c>
      <c r="C173" s="5">
        <f t="shared" si="10"/>
        <v>-2498.5961312051695</v>
      </c>
      <c r="D173" s="5">
        <f t="shared" si="8"/>
        <v>-1060.134689333365</v>
      </c>
      <c r="E173" s="5">
        <f t="shared" si="9"/>
        <v>-1438.4614418718045</v>
      </c>
      <c r="F173" s="23">
        <f t="shared" si="11"/>
        <v>332109.85763766267</v>
      </c>
    </row>
    <row r="174" spans="1:6" x14ac:dyDescent="0.25">
      <c r="A174">
        <v>163</v>
      </c>
      <c r="C174" s="5">
        <f t="shared" si="10"/>
        <v>-2498.5961312051695</v>
      </c>
      <c r="D174" s="5">
        <f t="shared" si="8"/>
        <v>-1064.7118208545619</v>
      </c>
      <c r="E174" s="5">
        <f t="shared" si="9"/>
        <v>-1433.8843103506076</v>
      </c>
      <c r="F174" s="23">
        <f t="shared" si="11"/>
        <v>331045.1458168081</v>
      </c>
    </row>
    <row r="175" spans="1:6" x14ac:dyDescent="0.25">
      <c r="A175">
        <v>164</v>
      </c>
      <c r="C175" s="5">
        <f t="shared" si="10"/>
        <v>-2498.5961312051695</v>
      </c>
      <c r="D175" s="5">
        <f t="shared" si="8"/>
        <v>-1069.3087141411013</v>
      </c>
      <c r="E175" s="5">
        <f t="shared" si="9"/>
        <v>-1429.287417064068</v>
      </c>
      <c r="F175" s="23">
        <f t="shared" si="11"/>
        <v>329975.83710266702</v>
      </c>
    </row>
    <row r="176" spans="1:6" x14ac:dyDescent="0.25">
      <c r="A176">
        <v>165</v>
      </c>
      <c r="C176" s="5">
        <f t="shared" si="10"/>
        <v>-2498.5961312051695</v>
      </c>
      <c r="D176" s="5">
        <f t="shared" si="8"/>
        <v>-1073.9254545144058</v>
      </c>
      <c r="E176" s="5">
        <f t="shared" si="9"/>
        <v>-1424.6706766907639</v>
      </c>
      <c r="F176" s="23">
        <f t="shared" si="11"/>
        <v>328901.91164815263</v>
      </c>
    </row>
    <row r="177" spans="1:6" x14ac:dyDescent="0.25">
      <c r="A177">
        <v>166</v>
      </c>
      <c r="C177" s="5">
        <f t="shared" si="10"/>
        <v>-2498.5961312051695</v>
      </c>
      <c r="D177" s="5">
        <f t="shared" si="8"/>
        <v>-1078.5621276642717</v>
      </c>
      <c r="E177" s="5">
        <f t="shared" si="9"/>
        <v>-1420.0340035408976</v>
      </c>
      <c r="F177" s="23">
        <f t="shared" si="11"/>
        <v>327823.34952048835</v>
      </c>
    </row>
    <row r="178" spans="1:6" x14ac:dyDescent="0.25">
      <c r="A178">
        <v>167</v>
      </c>
      <c r="C178" s="5">
        <f t="shared" si="10"/>
        <v>-2498.5961312051695</v>
      </c>
      <c r="D178" s="5">
        <f t="shared" si="8"/>
        <v>-1083.2188196504621</v>
      </c>
      <c r="E178" s="5">
        <f t="shared" si="9"/>
        <v>-1415.3773115547071</v>
      </c>
      <c r="F178" s="23">
        <f t="shared" si="11"/>
        <v>326740.13070083788</v>
      </c>
    </row>
    <row r="179" spans="1:6" x14ac:dyDescent="0.25">
      <c r="A179">
        <v>168</v>
      </c>
      <c r="C179" s="5">
        <f t="shared" si="10"/>
        <v>-2498.5961312051695</v>
      </c>
      <c r="D179" s="5">
        <f t="shared" si="8"/>
        <v>-1087.8956169043031</v>
      </c>
      <c r="E179" s="5">
        <f t="shared" si="9"/>
        <v>-1410.7005143008664</v>
      </c>
      <c r="F179" s="23">
        <f t="shared" si="11"/>
        <v>325652.23508393357</v>
      </c>
    </row>
    <row r="180" spans="1:6" x14ac:dyDescent="0.25">
      <c r="A180">
        <v>169</v>
      </c>
      <c r="C180" s="5">
        <f t="shared" si="10"/>
        <v>-2498.5961312051695</v>
      </c>
      <c r="D180" s="5">
        <f t="shared" si="8"/>
        <v>-1092.5926062302872</v>
      </c>
      <c r="E180" s="5">
        <f t="shared" si="9"/>
        <v>-1406.0035249748819</v>
      </c>
      <c r="F180" s="23">
        <f t="shared" si="11"/>
        <v>324559.64247770328</v>
      </c>
    </row>
    <row r="181" spans="1:6" x14ac:dyDescent="0.25">
      <c r="A181">
        <v>170</v>
      </c>
      <c r="C181" s="5">
        <f t="shared" si="10"/>
        <v>-2498.5961312051695</v>
      </c>
      <c r="D181" s="5">
        <f t="shared" si="8"/>
        <v>-1097.3098748076866</v>
      </c>
      <c r="E181" s="5">
        <f t="shared" si="9"/>
        <v>-1401.2862563974827</v>
      </c>
      <c r="F181" s="23">
        <f t="shared" si="11"/>
        <v>323462.33260289562</v>
      </c>
    </row>
    <row r="182" spans="1:6" x14ac:dyDescent="0.25">
      <c r="A182">
        <v>171</v>
      </c>
      <c r="C182" s="5">
        <f t="shared" si="10"/>
        <v>-2498.5961312051695</v>
      </c>
      <c r="D182" s="5">
        <f t="shared" si="8"/>
        <v>-1102.0475101921686</v>
      </c>
      <c r="E182" s="5">
        <f t="shared" si="9"/>
        <v>-1396.5486210130007</v>
      </c>
      <c r="F182" s="23">
        <f t="shared" si="11"/>
        <v>322360.28509270347</v>
      </c>
    </row>
    <row r="183" spans="1:6" x14ac:dyDescent="0.25">
      <c r="A183">
        <v>172</v>
      </c>
      <c r="C183" s="5">
        <f t="shared" si="10"/>
        <v>-2498.5961312051695</v>
      </c>
      <c r="D183" s="5">
        <f t="shared" si="8"/>
        <v>-1106.8056003174233</v>
      </c>
      <c r="E183" s="5">
        <f t="shared" si="9"/>
        <v>-1391.7905308877457</v>
      </c>
      <c r="F183" s="23">
        <f t="shared" si="11"/>
        <v>321253.47949238605</v>
      </c>
    </row>
    <row r="184" spans="1:6" x14ac:dyDescent="0.25">
      <c r="A184">
        <v>173</v>
      </c>
      <c r="C184" s="5">
        <f t="shared" si="10"/>
        <v>-2498.5961312051695</v>
      </c>
      <c r="D184" s="5">
        <f t="shared" si="8"/>
        <v>-1111.584233496794</v>
      </c>
      <c r="E184" s="5">
        <f t="shared" si="9"/>
        <v>-1387.0118977083755</v>
      </c>
      <c r="F184" s="23">
        <f t="shared" si="11"/>
        <v>320141.89525888924</v>
      </c>
    </row>
    <row r="185" spans="1:6" x14ac:dyDescent="0.25">
      <c r="A185">
        <v>174</v>
      </c>
      <c r="C185" s="5">
        <f t="shared" si="10"/>
        <v>-2498.5961312051695</v>
      </c>
      <c r="D185" s="5">
        <f t="shared" si="8"/>
        <v>-1116.3834984249163</v>
      </c>
      <c r="E185" s="5">
        <f t="shared" si="9"/>
        <v>-1382.2126327802528</v>
      </c>
      <c r="F185" s="23">
        <f t="shared" si="11"/>
        <v>319025.51176046435</v>
      </c>
    </row>
    <row r="186" spans="1:6" x14ac:dyDescent="0.25">
      <c r="A186">
        <v>175</v>
      </c>
      <c r="C186" s="5">
        <f t="shared" si="10"/>
        <v>-2498.5961312051695</v>
      </c>
      <c r="D186" s="5">
        <f t="shared" si="8"/>
        <v>-1121.2034841793659</v>
      </c>
      <c r="E186" s="5">
        <f t="shared" si="9"/>
        <v>-1377.3926470258034</v>
      </c>
      <c r="F186" s="23">
        <f t="shared" si="11"/>
        <v>317904.30827628495</v>
      </c>
    </row>
    <row r="187" spans="1:6" x14ac:dyDescent="0.25">
      <c r="A187">
        <v>176</v>
      </c>
      <c r="C187" s="5">
        <f t="shared" si="10"/>
        <v>-2498.5961312051695</v>
      </c>
      <c r="D187" s="5">
        <f t="shared" si="8"/>
        <v>-1126.0442802223104</v>
      </c>
      <c r="E187" s="5">
        <f t="shared" si="9"/>
        <v>-1372.5518509828594</v>
      </c>
      <c r="F187" s="23">
        <f t="shared" si="11"/>
        <v>316778.26399606263</v>
      </c>
    </row>
    <row r="188" spans="1:6" x14ac:dyDescent="0.25">
      <c r="A188">
        <v>177</v>
      </c>
      <c r="C188" s="5">
        <f t="shared" si="10"/>
        <v>-2498.5961312051695</v>
      </c>
      <c r="D188" s="5">
        <f t="shared" si="8"/>
        <v>-1130.9059764021702</v>
      </c>
      <c r="E188" s="5">
        <f t="shared" si="9"/>
        <v>-1367.6901548029991</v>
      </c>
      <c r="F188" s="23">
        <f t="shared" si="11"/>
        <v>315647.35801966046</v>
      </c>
    </row>
    <row r="189" spans="1:6" x14ac:dyDescent="0.25">
      <c r="A189">
        <v>178</v>
      </c>
      <c r="C189" s="5">
        <f t="shared" si="10"/>
        <v>-2498.5961312051695</v>
      </c>
      <c r="D189" s="5">
        <f t="shared" si="8"/>
        <v>-1135.7886629552866</v>
      </c>
      <c r="E189" s="5">
        <f t="shared" si="9"/>
        <v>-1362.8074682498827</v>
      </c>
      <c r="F189" s="23">
        <f t="shared" si="11"/>
        <v>314511.56935670518</v>
      </c>
    </row>
    <row r="190" spans="1:6" x14ac:dyDescent="0.25">
      <c r="A190">
        <v>179</v>
      </c>
      <c r="C190" s="5">
        <f t="shared" si="10"/>
        <v>-2498.5961312051695</v>
      </c>
      <c r="D190" s="5">
        <f t="shared" si="8"/>
        <v>-1140.6924305075959</v>
      </c>
      <c r="E190" s="5">
        <f t="shared" si="9"/>
        <v>-1357.9037006975734</v>
      </c>
      <c r="F190" s="23">
        <f t="shared" si="11"/>
        <v>313370.87692619755</v>
      </c>
    </row>
    <row r="191" spans="1:6" x14ac:dyDescent="0.25">
      <c r="A191">
        <v>180</v>
      </c>
      <c r="C191" s="5">
        <f t="shared" si="10"/>
        <v>-2498.5961312051695</v>
      </c>
      <c r="D191" s="5">
        <f t="shared" si="8"/>
        <v>-1145.6173700763127</v>
      </c>
      <c r="E191" s="5">
        <f t="shared" si="9"/>
        <v>-1352.9787611288568</v>
      </c>
      <c r="F191" s="23">
        <f t="shared" si="11"/>
        <v>312225.25955612125</v>
      </c>
    </row>
    <row r="192" spans="1:6" x14ac:dyDescent="0.25">
      <c r="A192">
        <v>181</v>
      </c>
      <c r="C192" s="5">
        <f t="shared" si="10"/>
        <v>-2498.5961312051695</v>
      </c>
      <c r="D192" s="5">
        <f t="shared" si="8"/>
        <v>-1150.5635730716172</v>
      </c>
      <c r="E192" s="5">
        <f t="shared" si="9"/>
        <v>-1348.0325581335521</v>
      </c>
      <c r="F192" s="23">
        <f t="shared" si="11"/>
        <v>311074.69598304963</v>
      </c>
    </row>
    <row r="193" spans="1:6" x14ac:dyDescent="0.25">
      <c r="A193">
        <v>182</v>
      </c>
      <c r="C193" s="5">
        <f t="shared" si="10"/>
        <v>-2498.5961312051695</v>
      </c>
      <c r="D193" s="5">
        <f t="shared" si="8"/>
        <v>-1155.5311312983538</v>
      </c>
      <c r="E193" s="5">
        <f t="shared" si="9"/>
        <v>-1343.0649999068155</v>
      </c>
      <c r="F193" s="23">
        <f t="shared" si="11"/>
        <v>309919.16485175129</v>
      </c>
    </row>
    <row r="194" spans="1:6" x14ac:dyDescent="0.25">
      <c r="A194">
        <v>183</v>
      </c>
      <c r="C194" s="5">
        <f t="shared" si="10"/>
        <v>-2498.5961312051695</v>
      </c>
      <c r="D194" s="5">
        <f t="shared" si="8"/>
        <v>-1160.5201369577344</v>
      </c>
      <c r="E194" s="5">
        <f t="shared" si="9"/>
        <v>-1338.0759942474347</v>
      </c>
      <c r="F194" s="23">
        <f t="shared" si="11"/>
        <v>308758.64471479354</v>
      </c>
    </row>
    <row r="195" spans="1:6" x14ac:dyDescent="0.25">
      <c r="A195">
        <v>184</v>
      </c>
      <c r="C195" s="5">
        <f t="shared" si="10"/>
        <v>-2498.5961312051695</v>
      </c>
      <c r="D195" s="5">
        <f t="shared" si="8"/>
        <v>-1165.5306826490494</v>
      </c>
      <c r="E195" s="5">
        <f t="shared" si="9"/>
        <v>-1333.0654485561199</v>
      </c>
      <c r="F195" s="23">
        <f t="shared" si="11"/>
        <v>307593.11403214448</v>
      </c>
    </row>
    <row r="196" spans="1:6" x14ac:dyDescent="0.25">
      <c r="A196">
        <v>185</v>
      </c>
      <c r="C196" s="5">
        <f t="shared" si="10"/>
        <v>-2498.5961312051695</v>
      </c>
      <c r="D196" s="5">
        <f t="shared" si="8"/>
        <v>-1170.5628613713868</v>
      </c>
      <c r="E196" s="5">
        <f t="shared" si="9"/>
        <v>-1328.0332698337827</v>
      </c>
      <c r="F196" s="23">
        <f t="shared" si="11"/>
        <v>306422.55117077311</v>
      </c>
    </row>
    <row r="197" spans="1:6" x14ac:dyDescent="0.25">
      <c r="A197">
        <v>186</v>
      </c>
      <c r="C197" s="5">
        <f t="shared" si="10"/>
        <v>-2498.5961312051695</v>
      </c>
      <c r="D197" s="5">
        <f t="shared" si="8"/>
        <v>-1175.6167665253577</v>
      </c>
      <c r="E197" s="5">
        <f t="shared" si="9"/>
        <v>-1322.9793646798116</v>
      </c>
      <c r="F197" s="23">
        <f t="shared" si="11"/>
        <v>305246.93440424773</v>
      </c>
    </row>
    <row r="198" spans="1:6" x14ac:dyDescent="0.25">
      <c r="A198">
        <v>187</v>
      </c>
      <c r="C198" s="5">
        <f t="shared" si="10"/>
        <v>-2498.5961312051695</v>
      </c>
      <c r="D198" s="5">
        <f t="shared" si="8"/>
        <v>-1180.6924919148307</v>
      </c>
      <c r="E198" s="5">
        <f t="shared" si="9"/>
        <v>-1317.9036392903386</v>
      </c>
      <c r="F198" s="23">
        <f t="shared" si="11"/>
        <v>304066.24191233289</v>
      </c>
    </row>
    <row r="199" spans="1:6" x14ac:dyDescent="0.25">
      <c r="A199">
        <v>188</v>
      </c>
      <c r="C199" s="5">
        <f t="shared" si="10"/>
        <v>-2498.5961312051695</v>
      </c>
      <c r="D199" s="5">
        <f t="shared" si="8"/>
        <v>-1185.790131748673</v>
      </c>
      <c r="E199" s="5">
        <f t="shared" si="9"/>
        <v>-1312.8059994564962</v>
      </c>
      <c r="F199" s="23">
        <f t="shared" si="11"/>
        <v>302880.45178058423</v>
      </c>
    </row>
    <row r="200" spans="1:6" x14ac:dyDescent="0.25">
      <c r="A200">
        <v>189</v>
      </c>
      <c r="C200" s="5">
        <f t="shared" si="10"/>
        <v>-2498.5961312051695</v>
      </c>
      <c r="D200" s="5">
        <f t="shared" si="8"/>
        <v>-1190.9097806424979</v>
      </c>
      <c r="E200" s="5">
        <f t="shared" si="9"/>
        <v>-1307.6863505626711</v>
      </c>
      <c r="F200" s="23">
        <f t="shared" si="11"/>
        <v>301689.54199994175</v>
      </c>
    </row>
    <row r="201" spans="1:6" x14ac:dyDescent="0.25">
      <c r="A201">
        <v>190</v>
      </c>
      <c r="C201" s="5">
        <f t="shared" si="10"/>
        <v>-2498.5961312051695</v>
      </c>
      <c r="D201" s="5">
        <f t="shared" si="8"/>
        <v>-1196.0515336204221</v>
      </c>
      <c r="E201" s="5">
        <f t="shared" si="9"/>
        <v>-1302.5445975847474</v>
      </c>
      <c r="F201" s="23">
        <f t="shared" si="11"/>
        <v>300493.49046632135</v>
      </c>
    </row>
    <row r="202" spans="1:6" x14ac:dyDescent="0.25">
      <c r="A202">
        <v>191</v>
      </c>
      <c r="C202" s="5">
        <f t="shared" si="10"/>
        <v>-2498.5961312051695</v>
      </c>
      <c r="D202" s="5">
        <f t="shared" si="8"/>
        <v>-1201.2154861168281</v>
      </c>
      <c r="E202" s="5">
        <f t="shared" si="9"/>
        <v>-1297.380645088341</v>
      </c>
      <c r="F202" s="23">
        <f t="shared" si="11"/>
        <v>299292.27498020453</v>
      </c>
    </row>
    <row r="203" spans="1:6" x14ac:dyDescent="0.25">
      <c r="A203">
        <v>192</v>
      </c>
      <c r="C203" s="5">
        <f t="shared" si="10"/>
        <v>-2498.5961312051695</v>
      </c>
      <c r="D203" s="5">
        <f t="shared" si="8"/>
        <v>-1206.4017339781376</v>
      </c>
      <c r="E203" s="5">
        <f t="shared" si="9"/>
        <v>-1292.1943972270319</v>
      </c>
      <c r="F203" s="23">
        <f t="shared" si="11"/>
        <v>298085.8732462264</v>
      </c>
    </row>
    <row r="204" spans="1:6" x14ac:dyDescent="0.25">
      <c r="A204">
        <v>193</v>
      </c>
      <c r="C204" s="5">
        <f t="shared" si="10"/>
        <v>-2498.5961312051695</v>
      </c>
      <c r="D204" s="5">
        <f t="shared" ref="D204:D267" si="12">IFERROR(PPMT($C$2/$C$4,A204,$C$3*$C$4,$C$5),0)</f>
        <v>-1211.6103734645881</v>
      </c>
      <c r="E204" s="5">
        <f t="shared" ref="E204:E267" si="13">IFERROR(IPMT($C$2/$C$4,A204,$C$3*$C$4,$C$5),0)</f>
        <v>-1286.9857577405812</v>
      </c>
      <c r="F204" s="23">
        <f t="shared" si="11"/>
        <v>296874.26287276181</v>
      </c>
    </row>
    <row r="205" spans="1:6" x14ac:dyDescent="0.25">
      <c r="A205">
        <v>194</v>
      </c>
      <c r="C205" s="5">
        <f t="shared" ref="C205:C268" si="14">PMT($C$2/$C$4,$C$3*$C$4,$C$5)</f>
        <v>-2498.5961312051695</v>
      </c>
      <c r="D205" s="5">
        <f t="shared" si="12"/>
        <v>-1216.8415012520213</v>
      </c>
      <c r="E205" s="5">
        <f t="shared" si="13"/>
        <v>-1281.754629953148</v>
      </c>
      <c r="F205" s="23">
        <f t="shared" ref="F205:F268" si="15">IFERROR(F204+D205,0)</f>
        <v>295657.42137150979</v>
      </c>
    </row>
    <row r="206" spans="1:6" x14ac:dyDescent="0.25">
      <c r="A206">
        <v>195</v>
      </c>
      <c r="C206" s="5">
        <f t="shared" si="14"/>
        <v>-2498.5961312051695</v>
      </c>
      <c r="D206" s="5">
        <f t="shared" si="12"/>
        <v>-1222.095214433677</v>
      </c>
      <c r="E206" s="5">
        <f t="shared" si="13"/>
        <v>-1276.5009167714923</v>
      </c>
      <c r="F206" s="23">
        <f t="shared" si="15"/>
        <v>294435.32615707611</v>
      </c>
    </row>
    <row r="207" spans="1:6" x14ac:dyDescent="0.25">
      <c r="A207">
        <v>196</v>
      </c>
      <c r="C207" s="5">
        <f t="shared" si="14"/>
        <v>-2498.5961312051695</v>
      </c>
      <c r="D207" s="5">
        <f t="shared" si="12"/>
        <v>-1227.3716105219944</v>
      </c>
      <c r="E207" s="5">
        <f t="shared" si="13"/>
        <v>-1271.2245206831749</v>
      </c>
      <c r="F207" s="23">
        <f t="shared" si="15"/>
        <v>293207.95454655413</v>
      </c>
    </row>
    <row r="208" spans="1:6" x14ac:dyDescent="0.25">
      <c r="A208">
        <v>197</v>
      </c>
      <c r="C208" s="5">
        <f t="shared" si="14"/>
        <v>-2498.5961312051695</v>
      </c>
      <c r="D208" s="5">
        <f t="shared" si="12"/>
        <v>-1232.6707874504234</v>
      </c>
      <c r="E208" s="5">
        <f t="shared" si="13"/>
        <v>-1265.9253437547461</v>
      </c>
      <c r="F208" s="23">
        <f t="shared" si="15"/>
        <v>291975.28375910368</v>
      </c>
    </row>
    <row r="209" spans="1:6" x14ac:dyDescent="0.25">
      <c r="A209">
        <v>198</v>
      </c>
      <c r="C209" s="5">
        <f t="shared" si="14"/>
        <v>-2498.5961312051695</v>
      </c>
      <c r="D209" s="5">
        <f t="shared" si="12"/>
        <v>-1237.9928435752404</v>
      </c>
      <c r="E209" s="5">
        <f t="shared" si="13"/>
        <v>-1260.6032876299289</v>
      </c>
      <c r="F209" s="23">
        <f t="shared" si="15"/>
        <v>290737.29091552843</v>
      </c>
    </row>
    <row r="210" spans="1:6" x14ac:dyDescent="0.25">
      <c r="A210">
        <v>199</v>
      </c>
      <c r="C210" s="5">
        <f t="shared" si="14"/>
        <v>-2498.5961312051695</v>
      </c>
      <c r="D210" s="5">
        <f t="shared" si="12"/>
        <v>-1243.3378776773766</v>
      </c>
      <c r="E210" s="5">
        <f t="shared" si="13"/>
        <v>-1255.2582535277929</v>
      </c>
      <c r="F210" s="23">
        <f t="shared" si="15"/>
        <v>289493.95303785102</v>
      </c>
    </row>
    <row r="211" spans="1:6" x14ac:dyDescent="0.25">
      <c r="A211">
        <v>200</v>
      </c>
      <c r="C211" s="5">
        <f t="shared" si="14"/>
        <v>-2498.5961312051695</v>
      </c>
      <c r="D211" s="5">
        <f t="shared" si="12"/>
        <v>-1248.7059889642487</v>
      </c>
      <c r="E211" s="5">
        <f t="shared" si="13"/>
        <v>-1249.8901422409206</v>
      </c>
      <c r="F211" s="23">
        <f t="shared" si="15"/>
        <v>288245.24704888678</v>
      </c>
    </row>
    <row r="212" spans="1:6" x14ac:dyDescent="0.25">
      <c r="A212">
        <v>201</v>
      </c>
      <c r="C212" s="5">
        <f t="shared" si="14"/>
        <v>-2498.5961312051695</v>
      </c>
      <c r="D212" s="5">
        <f t="shared" si="12"/>
        <v>-1254.0972770716019</v>
      </c>
      <c r="E212" s="5">
        <f t="shared" si="13"/>
        <v>-1244.4988541335676</v>
      </c>
      <c r="F212" s="23">
        <f t="shared" si="15"/>
        <v>286991.14977181517</v>
      </c>
    </row>
    <row r="213" spans="1:6" x14ac:dyDescent="0.25">
      <c r="A213">
        <v>202</v>
      </c>
      <c r="C213" s="5">
        <f t="shared" si="14"/>
        <v>-2498.5961312051695</v>
      </c>
      <c r="D213" s="5">
        <f t="shared" si="12"/>
        <v>-1259.5118420653587</v>
      </c>
      <c r="E213" s="5">
        <f t="shared" si="13"/>
        <v>-1239.0842891398111</v>
      </c>
      <c r="F213" s="23">
        <f t="shared" si="15"/>
        <v>285731.63792974979</v>
      </c>
    </row>
    <row r="214" spans="1:6" x14ac:dyDescent="0.25">
      <c r="A214">
        <v>203</v>
      </c>
      <c r="C214" s="5">
        <f t="shared" si="14"/>
        <v>-2498.5961312051695</v>
      </c>
      <c r="D214" s="5">
        <f t="shared" si="12"/>
        <v>-1264.9497844434757</v>
      </c>
      <c r="E214" s="5">
        <f t="shared" si="13"/>
        <v>-1233.6463467616938</v>
      </c>
      <c r="F214" s="23">
        <f t="shared" si="15"/>
        <v>284466.68814530631</v>
      </c>
    </row>
    <row r="215" spans="1:6" x14ac:dyDescent="0.25">
      <c r="A215">
        <v>204</v>
      </c>
      <c r="C215" s="5">
        <f t="shared" si="14"/>
        <v>-2498.5961312051695</v>
      </c>
      <c r="D215" s="5">
        <f t="shared" si="12"/>
        <v>-1270.4112051378102</v>
      </c>
      <c r="E215" s="5">
        <f t="shared" si="13"/>
        <v>-1228.1849260673591</v>
      </c>
      <c r="F215" s="23">
        <f t="shared" si="15"/>
        <v>283196.27694016852</v>
      </c>
    </row>
    <row r="216" spans="1:6" x14ac:dyDescent="0.25">
      <c r="A216">
        <v>205</v>
      </c>
      <c r="C216" s="5">
        <f t="shared" si="14"/>
        <v>-2498.5961312051695</v>
      </c>
      <c r="D216" s="5">
        <f t="shared" si="12"/>
        <v>-1275.8962055159927</v>
      </c>
      <c r="E216" s="5">
        <f t="shared" si="13"/>
        <v>-1222.6999256891766</v>
      </c>
      <c r="F216" s="23">
        <f t="shared" si="15"/>
        <v>281920.38073465251</v>
      </c>
    </row>
    <row r="217" spans="1:6" x14ac:dyDescent="0.25">
      <c r="A217">
        <v>206</v>
      </c>
      <c r="C217" s="5">
        <f t="shared" si="14"/>
        <v>-2498.5961312051695</v>
      </c>
      <c r="D217" s="5">
        <f t="shared" si="12"/>
        <v>-1281.4048873833083</v>
      </c>
      <c r="E217" s="5">
        <f t="shared" si="13"/>
        <v>-1217.1912438218612</v>
      </c>
      <c r="F217" s="23">
        <f t="shared" si="15"/>
        <v>280638.97584726923</v>
      </c>
    </row>
    <row r="218" spans="1:6" x14ac:dyDescent="0.25">
      <c r="A218">
        <v>207</v>
      </c>
      <c r="C218" s="5">
        <f t="shared" si="14"/>
        <v>-2498.5961312051695</v>
      </c>
      <c r="D218" s="5">
        <f t="shared" si="12"/>
        <v>-1286.9373529845857</v>
      </c>
      <c r="E218" s="5">
        <f t="shared" si="13"/>
        <v>-1211.6587782205836</v>
      </c>
      <c r="F218" s="23">
        <f t="shared" si="15"/>
        <v>279352.03849428467</v>
      </c>
    </row>
    <row r="219" spans="1:6" x14ac:dyDescent="0.25">
      <c r="A219">
        <v>208</v>
      </c>
      <c r="C219" s="5">
        <f t="shared" si="14"/>
        <v>-2498.5961312051695</v>
      </c>
      <c r="D219" s="5">
        <f t="shared" si="12"/>
        <v>-1292.4937050060964</v>
      </c>
      <c r="E219" s="5">
        <f t="shared" si="13"/>
        <v>-1206.1024261990729</v>
      </c>
      <c r="F219" s="23">
        <f t="shared" si="15"/>
        <v>278059.54478927859</v>
      </c>
    </row>
    <row r="220" spans="1:6" x14ac:dyDescent="0.25">
      <c r="A220">
        <v>209</v>
      </c>
      <c r="C220" s="5">
        <f t="shared" si="14"/>
        <v>-2498.5961312051695</v>
      </c>
      <c r="D220" s="5">
        <f t="shared" si="12"/>
        <v>-1298.0740465774602</v>
      </c>
      <c r="E220" s="5">
        <f t="shared" si="13"/>
        <v>-1200.5220846277091</v>
      </c>
      <c r="F220" s="23">
        <f t="shared" si="15"/>
        <v>276761.47074270115</v>
      </c>
    </row>
    <row r="221" spans="1:6" x14ac:dyDescent="0.25">
      <c r="A221">
        <v>210</v>
      </c>
      <c r="C221" s="5">
        <f t="shared" si="14"/>
        <v>-2498.5961312051695</v>
      </c>
      <c r="D221" s="5">
        <f t="shared" si="12"/>
        <v>-1303.6784812735584</v>
      </c>
      <c r="E221" s="5">
        <f t="shared" si="13"/>
        <v>-1194.9176499316111</v>
      </c>
      <c r="F221" s="23">
        <f t="shared" si="15"/>
        <v>275457.79226142756</v>
      </c>
    </row>
    <row r="222" spans="1:6" x14ac:dyDescent="0.25">
      <c r="A222">
        <v>211</v>
      </c>
      <c r="C222" s="5">
        <f t="shared" si="14"/>
        <v>-2498.5961312051695</v>
      </c>
      <c r="D222" s="5">
        <f t="shared" si="12"/>
        <v>-1309.307113116457</v>
      </c>
      <c r="E222" s="5">
        <f t="shared" si="13"/>
        <v>-1189.2890180887123</v>
      </c>
      <c r="F222" s="23">
        <f t="shared" si="15"/>
        <v>274148.48514831113</v>
      </c>
    </row>
    <row r="223" spans="1:6" x14ac:dyDescent="0.25">
      <c r="A223">
        <v>212</v>
      </c>
      <c r="C223" s="5">
        <f t="shared" si="14"/>
        <v>-2498.5961312051695</v>
      </c>
      <c r="D223" s="5">
        <f t="shared" si="12"/>
        <v>-1314.9600465773374</v>
      </c>
      <c r="E223" s="5">
        <f t="shared" si="13"/>
        <v>-1183.6360846278319</v>
      </c>
      <c r="F223" s="23">
        <f t="shared" si="15"/>
        <v>272833.5251017338</v>
      </c>
    </row>
    <row r="224" spans="1:6" x14ac:dyDescent="0.25">
      <c r="A224">
        <v>213</v>
      </c>
      <c r="C224" s="5">
        <f t="shared" si="14"/>
        <v>-2498.5961312051695</v>
      </c>
      <c r="D224" s="5">
        <f t="shared" si="12"/>
        <v>-1320.6373865784351</v>
      </c>
      <c r="E224" s="5">
        <f t="shared" si="13"/>
        <v>-1177.9587446267342</v>
      </c>
      <c r="F224" s="23">
        <f t="shared" si="15"/>
        <v>271512.88771515538</v>
      </c>
    </row>
    <row r="225" spans="1:6" x14ac:dyDescent="0.25">
      <c r="A225">
        <v>214</v>
      </c>
      <c r="C225" s="5">
        <f t="shared" si="14"/>
        <v>-2498.5961312051695</v>
      </c>
      <c r="D225" s="5">
        <f t="shared" si="12"/>
        <v>-1326.3392384949875</v>
      </c>
      <c r="E225" s="5">
        <f t="shared" si="13"/>
        <v>-1172.2568927101822</v>
      </c>
      <c r="F225" s="23">
        <f t="shared" si="15"/>
        <v>270186.54847666039</v>
      </c>
    </row>
    <row r="226" spans="1:6" x14ac:dyDescent="0.25">
      <c r="A226">
        <v>215</v>
      </c>
      <c r="C226" s="5">
        <f t="shared" si="14"/>
        <v>-2498.5961312051695</v>
      </c>
      <c r="D226" s="5">
        <f t="shared" si="12"/>
        <v>-1332.0657081571896</v>
      </c>
      <c r="E226" s="5">
        <f t="shared" si="13"/>
        <v>-1166.5304230479799</v>
      </c>
      <c r="F226" s="23">
        <f t="shared" si="15"/>
        <v>268854.48276850319</v>
      </c>
    </row>
    <row r="227" spans="1:6" x14ac:dyDescent="0.25">
      <c r="A227">
        <v>216</v>
      </c>
      <c r="C227" s="5">
        <f t="shared" si="14"/>
        <v>-2498.5961312051695</v>
      </c>
      <c r="D227" s="5">
        <f t="shared" si="12"/>
        <v>-1337.8169018521583</v>
      </c>
      <c r="E227" s="5">
        <f t="shared" si="13"/>
        <v>-1160.779229353011</v>
      </c>
      <c r="F227" s="23">
        <f t="shared" si="15"/>
        <v>267516.66586665105</v>
      </c>
    </row>
    <row r="228" spans="1:6" x14ac:dyDescent="0.25">
      <c r="A228">
        <v>217</v>
      </c>
      <c r="C228" s="5">
        <f t="shared" si="14"/>
        <v>-2498.5961312051695</v>
      </c>
      <c r="D228" s="5">
        <f t="shared" si="12"/>
        <v>-1343.592926325905</v>
      </c>
      <c r="E228" s="5">
        <f t="shared" si="13"/>
        <v>-1155.0032048792643</v>
      </c>
      <c r="F228" s="23">
        <f t="shared" si="15"/>
        <v>266173.07294032513</v>
      </c>
    </row>
    <row r="229" spans="1:6" x14ac:dyDescent="0.25">
      <c r="A229">
        <v>218</v>
      </c>
      <c r="C229" s="5">
        <f t="shared" si="14"/>
        <v>-2498.5961312051695</v>
      </c>
      <c r="D229" s="5">
        <f t="shared" si="12"/>
        <v>-1349.3938887853169</v>
      </c>
      <c r="E229" s="5">
        <f t="shared" si="13"/>
        <v>-1149.2022424198524</v>
      </c>
      <c r="F229" s="23">
        <f t="shared" si="15"/>
        <v>264823.6790515398</v>
      </c>
    </row>
    <row r="230" spans="1:6" x14ac:dyDescent="0.25">
      <c r="A230">
        <v>219</v>
      </c>
      <c r="C230" s="5">
        <f t="shared" si="14"/>
        <v>-2498.5961312051695</v>
      </c>
      <c r="D230" s="5">
        <f t="shared" si="12"/>
        <v>-1355.2198969001477</v>
      </c>
      <c r="E230" s="5">
        <f t="shared" si="13"/>
        <v>-1143.3762343050216</v>
      </c>
      <c r="F230" s="23">
        <f t="shared" si="15"/>
        <v>263468.45915463963</v>
      </c>
    </row>
    <row r="231" spans="1:6" x14ac:dyDescent="0.25">
      <c r="A231">
        <v>220</v>
      </c>
      <c r="C231" s="5">
        <f t="shared" si="14"/>
        <v>-2498.5961312051695</v>
      </c>
      <c r="D231" s="5">
        <f t="shared" si="12"/>
        <v>-1361.071058805014</v>
      </c>
      <c r="E231" s="5">
        <f t="shared" si="13"/>
        <v>-1137.5250724001553</v>
      </c>
      <c r="F231" s="23">
        <f t="shared" si="15"/>
        <v>262107.38809583461</v>
      </c>
    </row>
    <row r="232" spans="1:6" x14ac:dyDescent="0.25">
      <c r="A232">
        <v>221</v>
      </c>
      <c r="C232" s="5">
        <f t="shared" si="14"/>
        <v>-2498.5961312051695</v>
      </c>
      <c r="D232" s="5">
        <f t="shared" si="12"/>
        <v>-1366.9474831014045</v>
      </c>
      <c r="E232" s="5">
        <f t="shared" si="13"/>
        <v>-1131.6486481037648</v>
      </c>
      <c r="F232" s="23">
        <f t="shared" si="15"/>
        <v>260740.44061273322</v>
      </c>
    </row>
    <row r="233" spans="1:6" x14ac:dyDescent="0.25">
      <c r="A233">
        <v>222</v>
      </c>
      <c r="C233" s="5">
        <f t="shared" si="14"/>
        <v>-2498.5961312051695</v>
      </c>
      <c r="D233" s="5">
        <f t="shared" si="12"/>
        <v>-1372.8492788596948</v>
      </c>
      <c r="E233" s="5">
        <f t="shared" si="13"/>
        <v>-1125.7468523454743</v>
      </c>
      <c r="F233" s="23">
        <f t="shared" si="15"/>
        <v>259367.59133387351</v>
      </c>
    </row>
    <row r="234" spans="1:6" x14ac:dyDescent="0.25">
      <c r="A234">
        <v>223</v>
      </c>
      <c r="C234" s="5">
        <f t="shared" si="14"/>
        <v>-2498.5961312051695</v>
      </c>
      <c r="D234" s="5">
        <f t="shared" si="12"/>
        <v>-1378.7765556211716</v>
      </c>
      <c r="E234" s="5">
        <f t="shared" si="13"/>
        <v>-1119.8195755839977</v>
      </c>
      <c r="F234" s="23">
        <f t="shared" si="15"/>
        <v>257988.81477825233</v>
      </c>
    </row>
    <row r="235" spans="1:6" x14ac:dyDescent="0.25">
      <c r="A235">
        <v>224</v>
      </c>
      <c r="C235" s="5">
        <f t="shared" si="14"/>
        <v>-2498.5961312051695</v>
      </c>
      <c r="D235" s="5">
        <f t="shared" si="12"/>
        <v>-1384.729423400066</v>
      </c>
      <c r="E235" s="5">
        <f t="shared" si="13"/>
        <v>-1113.866707805103</v>
      </c>
      <c r="F235" s="23">
        <f t="shared" si="15"/>
        <v>256604.08535485226</v>
      </c>
    </row>
    <row r="236" spans="1:6" x14ac:dyDescent="0.25">
      <c r="A236">
        <v>225</v>
      </c>
      <c r="C236" s="5">
        <f t="shared" si="14"/>
        <v>-2498.5961312051695</v>
      </c>
      <c r="D236" s="5">
        <f t="shared" si="12"/>
        <v>-1390.7079926855959</v>
      </c>
      <c r="E236" s="5">
        <f t="shared" si="13"/>
        <v>-1107.8881385195734</v>
      </c>
      <c r="F236" s="23">
        <f t="shared" si="15"/>
        <v>255213.37736216665</v>
      </c>
    </row>
    <row r="237" spans="1:6" x14ac:dyDescent="0.25">
      <c r="A237">
        <v>226</v>
      </c>
      <c r="C237" s="5">
        <f t="shared" si="14"/>
        <v>-2498.5961312051695</v>
      </c>
      <c r="D237" s="5">
        <f t="shared" si="12"/>
        <v>-1396.7123744440157</v>
      </c>
      <c r="E237" s="5">
        <f t="shared" si="13"/>
        <v>-1101.8837567611533</v>
      </c>
      <c r="F237" s="23">
        <f t="shared" si="15"/>
        <v>253816.66498772264</v>
      </c>
    </row>
    <row r="238" spans="1:6" x14ac:dyDescent="0.25">
      <c r="A238">
        <v>227</v>
      </c>
      <c r="C238" s="5">
        <f t="shared" si="14"/>
        <v>-2498.5961312051695</v>
      </c>
      <c r="D238" s="5">
        <f t="shared" si="12"/>
        <v>-1402.742680120678</v>
      </c>
      <c r="E238" s="5">
        <f t="shared" si="13"/>
        <v>-1095.8534510844916</v>
      </c>
      <c r="F238" s="23">
        <f t="shared" si="15"/>
        <v>252413.92230760196</v>
      </c>
    </row>
    <row r="239" spans="1:6" x14ac:dyDescent="0.25">
      <c r="A239">
        <v>228</v>
      </c>
      <c r="C239" s="5">
        <f t="shared" si="14"/>
        <v>-2498.5961312051695</v>
      </c>
      <c r="D239" s="5">
        <f t="shared" si="12"/>
        <v>-1408.7990216420992</v>
      </c>
      <c r="E239" s="5">
        <f t="shared" si="13"/>
        <v>-1089.7971095630705</v>
      </c>
      <c r="F239" s="23">
        <f t="shared" si="15"/>
        <v>251005.12328595985</v>
      </c>
    </row>
    <row r="240" spans="1:6" x14ac:dyDescent="0.25">
      <c r="A240">
        <v>229</v>
      </c>
      <c r="C240" s="5">
        <f t="shared" si="14"/>
        <v>-2498.5961312051695</v>
      </c>
      <c r="D240" s="5">
        <f t="shared" si="12"/>
        <v>-1414.8815114180391</v>
      </c>
      <c r="E240" s="5">
        <f t="shared" si="13"/>
        <v>-1083.7146197871305</v>
      </c>
      <c r="F240" s="23">
        <f t="shared" si="15"/>
        <v>249590.24177454182</v>
      </c>
    </row>
    <row r="241" spans="1:6" x14ac:dyDescent="0.25">
      <c r="A241">
        <v>230</v>
      </c>
      <c r="C241" s="5">
        <f t="shared" si="14"/>
        <v>-2498.5961312051695</v>
      </c>
      <c r="D241" s="5">
        <f t="shared" si="12"/>
        <v>-1420.9902623435862</v>
      </c>
      <c r="E241" s="5">
        <f t="shared" si="13"/>
        <v>-1077.6058688615831</v>
      </c>
      <c r="F241" s="23">
        <f t="shared" si="15"/>
        <v>248169.25151219824</v>
      </c>
    </row>
    <row r="242" spans="1:6" x14ac:dyDescent="0.25">
      <c r="A242">
        <v>231</v>
      </c>
      <c r="C242" s="5">
        <f t="shared" si="14"/>
        <v>-2498.5961312051695</v>
      </c>
      <c r="D242" s="5">
        <f t="shared" si="12"/>
        <v>-1427.1253878012544</v>
      </c>
      <c r="E242" s="5">
        <f t="shared" si="13"/>
        <v>-1071.4707434039146</v>
      </c>
      <c r="F242" s="23">
        <f t="shared" si="15"/>
        <v>246742.12612439698</v>
      </c>
    </row>
    <row r="243" spans="1:6" x14ac:dyDescent="0.25">
      <c r="A243">
        <v>232</v>
      </c>
      <c r="C243" s="5">
        <f t="shared" si="14"/>
        <v>-2498.5961312051695</v>
      </c>
      <c r="D243" s="5">
        <f t="shared" si="12"/>
        <v>-1433.2870016630866</v>
      </c>
      <c r="E243" s="5">
        <f t="shared" si="13"/>
        <v>-1065.3091295420827</v>
      </c>
      <c r="F243" s="23">
        <f t="shared" si="15"/>
        <v>245308.83912273389</v>
      </c>
    </row>
    <row r="244" spans="1:6" x14ac:dyDescent="0.25">
      <c r="A244">
        <v>233</v>
      </c>
      <c r="C244" s="5">
        <f t="shared" si="14"/>
        <v>-2498.5961312051695</v>
      </c>
      <c r="D244" s="5">
        <f t="shared" si="12"/>
        <v>-1439.4752182927671</v>
      </c>
      <c r="E244" s="5">
        <f t="shared" si="13"/>
        <v>-1059.1209129124024</v>
      </c>
      <c r="F244" s="23">
        <f t="shared" si="15"/>
        <v>243869.36390444112</v>
      </c>
    </row>
    <row r="245" spans="1:6" x14ac:dyDescent="0.25">
      <c r="A245">
        <v>234</v>
      </c>
      <c r="C245" s="5">
        <f t="shared" si="14"/>
        <v>-2498.5961312051695</v>
      </c>
      <c r="D245" s="5">
        <f t="shared" si="12"/>
        <v>-1445.690152547746</v>
      </c>
      <c r="E245" s="5">
        <f t="shared" si="13"/>
        <v>-1052.9059786574235</v>
      </c>
      <c r="F245" s="23">
        <f t="shared" si="15"/>
        <v>242423.67375189337</v>
      </c>
    </row>
    <row r="246" spans="1:6" x14ac:dyDescent="0.25">
      <c r="A246">
        <v>235</v>
      </c>
      <c r="C246" s="5">
        <f t="shared" si="14"/>
        <v>-2498.5961312051695</v>
      </c>
      <c r="D246" s="5">
        <f t="shared" si="12"/>
        <v>-1451.9319197813709</v>
      </c>
      <c r="E246" s="5">
        <f t="shared" si="13"/>
        <v>-1046.6642114237984</v>
      </c>
      <c r="F246" s="23">
        <f t="shared" si="15"/>
        <v>240971.74183211199</v>
      </c>
    </row>
    <row r="247" spans="1:6" x14ac:dyDescent="0.25">
      <c r="A247">
        <v>236</v>
      </c>
      <c r="C247" s="5">
        <f t="shared" si="14"/>
        <v>-2498.5961312051695</v>
      </c>
      <c r="D247" s="5">
        <f t="shared" si="12"/>
        <v>-1458.2006358450269</v>
      </c>
      <c r="E247" s="5">
        <f t="shared" si="13"/>
        <v>-1040.3954953601426</v>
      </c>
      <c r="F247" s="23">
        <f t="shared" si="15"/>
        <v>239513.54119626698</v>
      </c>
    </row>
    <row r="248" spans="1:6" x14ac:dyDescent="0.25">
      <c r="A248">
        <v>237</v>
      </c>
      <c r="C248" s="5">
        <f t="shared" si="14"/>
        <v>-2498.5961312051695</v>
      </c>
      <c r="D248" s="5">
        <f t="shared" si="12"/>
        <v>-1464.4964170902879</v>
      </c>
      <c r="E248" s="5">
        <f t="shared" si="13"/>
        <v>-1034.0997141148819</v>
      </c>
      <c r="F248" s="23">
        <f t="shared" si="15"/>
        <v>238049.04477917668</v>
      </c>
    </row>
    <row r="249" spans="1:6" x14ac:dyDescent="0.25">
      <c r="A249">
        <v>238</v>
      </c>
      <c r="C249" s="5">
        <f t="shared" si="14"/>
        <v>-2498.5961312051695</v>
      </c>
      <c r="D249" s="5">
        <f t="shared" si="12"/>
        <v>-1470.8193803710753</v>
      </c>
      <c r="E249" s="5">
        <f t="shared" si="13"/>
        <v>-1027.7767508340942</v>
      </c>
      <c r="F249" s="23">
        <f t="shared" si="15"/>
        <v>236578.2253988056</v>
      </c>
    </row>
    <row r="250" spans="1:6" x14ac:dyDescent="0.25">
      <c r="A250">
        <v>239</v>
      </c>
      <c r="C250" s="5">
        <f t="shared" si="14"/>
        <v>-2498.5961312051695</v>
      </c>
      <c r="D250" s="5">
        <f t="shared" si="12"/>
        <v>-1477.1696430458273</v>
      </c>
      <c r="E250" s="5">
        <f t="shared" si="13"/>
        <v>-1021.4264881593421</v>
      </c>
      <c r="F250" s="23">
        <f t="shared" si="15"/>
        <v>235101.05575575976</v>
      </c>
    </row>
    <row r="251" spans="1:6" x14ac:dyDescent="0.25">
      <c r="A251">
        <v>240</v>
      </c>
      <c r="C251" s="5">
        <f t="shared" si="14"/>
        <v>-2498.5961312051695</v>
      </c>
      <c r="D251" s="5">
        <f t="shared" si="12"/>
        <v>-1483.5473229796776</v>
      </c>
      <c r="E251" s="5">
        <f t="shared" si="13"/>
        <v>-1015.0488082254917</v>
      </c>
      <c r="F251" s="23">
        <f t="shared" si="15"/>
        <v>233617.50843278007</v>
      </c>
    </row>
    <row r="252" spans="1:6" x14ac:dyDescent="0.25">
      <c r="A252">
        <v>241</v>
      </c>
      <c r="C252" s="5">
        <f t="shared" si="14"/>
        <v>-2498.5961312051695</v>
      </c>
      <c r="D252" s="5">
        <f t="shared" si="12"/>
        <v>-1489.9525385466422</v>
      </c>
      <c r="E252" s="5">
        <f t="shared" si="13"/>
        <v>-1008.643592658527</v>
      </c>
      <c r="F252" s="23">
        <f t="shared" si="15"/>
        <v>232127.55589423343</v>
      </c>
    </row>
    <row r="253" spans="1:6" x14ac:dyDescent="0.25">
      <c r="A253">
        <v>242</v>
      </c>
      <c r="C253" s="5">
        <f t="shared" si="14"/>
        <v>-2498.5961312051695</v>
      </c>
      <c r="D253" s="5">
        <f t="shared" si="12"/>
        <v>-1496.3854086318177</v>
      </c>
      <c r="E253" s="5">
        <f t="shared" si="13"/>
        <v>-1002.2107225733519</v>
      </c>
      <c r="F253" s="23">
        <f t="shared" si="15"/>
        <v>230631.17048560161</v>
      </c>
    </row>
    <row r="254" spans="1:6" x14ac:dyDescent="0.25">
      <c r="A254">
        <v>243</v>
      </c>
      <c r="C254" s="5">
        <f t="shared" si="14"/>
        <v>-2498.5961312051695</v>
      </c>
      <c r="D254" s="5">
        <f t="shared" si="12"/>
        <v>-1502.8460526335853</v>
      </c>
      <c r="E254" s="5">
        <f t="shared" si="13"/>
        <v>-995.75007857158391</v>
      </c>
      <c r="F254" s="23">
        <f t="shared" si="15"/>
        <v>229128.32443296802</v>
      </c>
    </row>
    <row r="255" spans="1:6" x14ac:dyDescent="0.25">
      <c r="A255">
        <v>244</v>
      </c>
      <c r="C255" s="5">
        <f t="shared" si="14"/>
        <v>-2498.5961312051695</v>
      </c>
      <c r="D255" s="5">
        <f t="shared" si="12"/>
        <v>-1509.3345904658308</v>
      </c>
      <c r="E255" s="5">
        <f t="shared" si="13"/>
        <v>-989.26154073933856</v>
      </c>
      <c r="F255" s="23">
        <f t="shared" si="15"/>
        <v>227618.9898425022</v>
      </c>
    </row>
    <row r="256" spans="1:6" x14ac:dyDescent="0.25">
      <c r="A256">
        <v>245</v>
      </c>
      <c r="C256" s="5">
        <f t="shared" si="14"/>
        <v>-2498.5961312051695</v>
      </c>
      <c r="D256" s="5">
        <f t="shared" si="12"/>
        <v>-1515.8511425601673</v>
      </c>
      <c r="E256" s="5">
        <f t="shared" si="13"/>
        <v>-982.74498864500242</v>
      </c>
      <c r="F256" s="23">
        <f t="shared" si="15"/>
        <v>226103.13869994204</v>
      </c>
    </row>
    <row r="257" spans="1:6" x14ac:dyDescent="0.25">
      <c r="A257">
        <v>246</v>
      </c>
      <c r="C257" s="5">
        <f t="shared" si="14"/>
        <v>-2498.5961312051695</v>
      </c>
      <c r="D257" s="5">
        <f t="shared" si="12"/>
        <v>-1522.3958298681705</v>
      </c>
      <c r="E257" s="5">
        <f t="shared" si="13"/>
        <v>-976.20030133699879</v>
      </c>
      <c r="F257" s="23">
        <f t="shared" si="15"/>
        <v>224580.74287007385</v>
      </c>
    </row>
    <row r="258" spans="1:6" x14ac:dyDescent="0.25">
      <c r="A258">
        <v>247</v>
      </c>
      <c r="C258" s="5">
        <f t="shared" si="14"/>
        <v>-2498.5961312051695</v>
      </c>
      <c r="D258" s="5">
        <f t="shared" si="12"/>
        <v>-1528.9687738636264</v>
      </c>
      <c r="E258" s="5">
        <f t="shared" si="13"/>
        <v>-969.62735734154285</v>
      </c>
      <c r="F258" s="23">
        <f t="shared" si="15"/>
        <v>223051.77409621023</v>
      </c>
    </row>
    <row r="259" spans="1:6" x14ac:dyDescent="0.25">
      <c r="A259">
        <v>248</v>
      </c>
      <c r="C259" s="5">
        <f t="shared" si="14"/>
        <v>-2498.5961312051695</v>
      </c>
      <c r="D259" s="5">
        <f t="shared" si="12"/>
        <v>-1535.5700965447825</v>
      </c>
      <c r="E259" s="5">
        <f t="shared" si="13"/>
        <v>-963.02603466038659</v>
      </c>
      <c r="F259" s="23">
        <f t="shared" si="15"/>
        <v>221516.20399966545</v>
      </c>
    </row>
    <row r="260" spans="1:6" x14ac:dyDescent="0.25">
      <c r="A260">
        <v>249</v>
      </c>
      <c r="C260" s="5">
        <f t="shared" si="14"/>
        <v>-2498.5961312051695</v>
      </c>
      <c r="D260" s="5">
        <f t="shared" si="12"/>
        <v>-1542.1999204366148</v>
      </c>
      <c r="E260" s="5">
        <f t="shared" si="13"/>
        <v>-956.39621076855474</v>
      </c>
      <c r="F260" s="23">
        <f t="shared" si="15"/>
        <v>219974.00407922885</v>
      </c>
    </row>
    <row r="261" spans="1:6" x14ac:dyDescent="0.25">
      <c r="A261">
        <v>250</v>
      </c>
      <c r="C261" s="5">
        <f t="shared" si="14"/>
        <v>-2498.5961312051695</v>
      </c>
      <c r="D261" s="5">
        <f t="shared" si="12"/>
        <v>-1548.8583685930998</v>
      </c>
      <c r="E261" s="5">
        <f t="shared" si="13"/>
        <v>-949.73776261206956</v>
      </c>
      <c r="F261" s="23">
        <f t="shared" si="15"/>
        <v>218425.14571063576</v>
      </c>
    </row>
    <row r="262" spans="1:6" x14ac:dyDescent="0.25">
      <c r="A262">
        <v>251</v>
      </c>
      <c r="C262" s="5">
        <f t="shared" si="14"/>
        <v>-2498.5961312051695</v>
      </c>
      <c r="D262" s="5">
        <f t="shared" si="12"/>
        <v>-1555.5455645995005</v>
      </c>
      <c r="E262" s="5">
        <f t="shared" si="13"/>
        <v>-943.05056660566891</v>
      </c>
      <c r="F262" s="23">
        <f t="shared" si="15"/>
        <v>216869.60014603625</v>
      </c>
    </row>
    <row r="263" spans="1:6" x14ac:dyDescent="0.25">
      <c r="A263">
        <v>252</v>
      </c>
      <c r="C263" s="5">
        <f t="shared" si="14"/>
        <v>-2498.5961312051695</v>
      </c>
      <c r="D263" s="5">
        <f t="shared" si="12"/>
        <v>-1562.2616325746587</v>
      </c>
      <c r="E263" s="5">
        <f t="shared" si="13"/>
        <v>-936.33449863051067</v>
      </c>
      <c r="F263" s="23">
        <f t="shared" si="15"/>
        <v>215307.33851346158</v>
      </c>
    </row>
    <row r="264" spans="1:6" x14ac:dyDescent="0.25">
      <c r="A264">
        <v>253</v>
      </c>
      <c r="C264" s="5">
        <f t="shared" si="14"/>
        <v>-2498.5961312051695</v>
      </c>
      <c r="D264" s="5">
        <f t="shared" si="12"/>
        <v>-1569.0066971732999</v>
      </c>
      <c r="E264" s="5">
        <f t="shared" si="13"/>
        <v>-929.58943403186936</v>
      </c>
      <c r="F264" s="23">
        <f t="shared" si="15"/>
        <v>213738.33181628829</v>
      </c>
    </row>
    <row r="265" spans="1:6" x14ac:dyDescent="0.25">
      <c r="A265">
        <v>254</v>
      </c>
      <c r="C265" s="5">
        <f t="shared" si="14"/>
        <v>-2498.5961312051695</v>
      </c>
      <c r="D265" s="5">
        <f t="shared" si="12"/>
        <v>-1575.7808835883457</v>
      </c>
      <c r="E265" s="5">
        <f t="shared" si="13"/>
        <v>-922.81524761682374</v>
      </c>
      <c r="F265" s="23">
        <f t="shared" si="15"/>
        <v>212162.55093269996</v>
      </c>
    </row>
    <row r="266" spans="1:6" x14ac:dyDescent="0.25">
      <c r="A266">
        <v>255</v>
      </c>
      <c r="C266" s="5">
        <f t="shared" si="14"/>
        <v>-2498.5961312051695</v>
      </c>
      <c r="D266" s="5">
        <f t="shared" si="12"/>
        <v>-1582.5843175532384</v>
      </c>
      <c r="E266" s="5">
        <f t="shared" si="13"/>
        <v>-916.01181365193099</v>
      </c>
      <c r="F266" s="23">
        <f t="shared" si="15"/>
        <v>210579.96661514672</v>
      </c>
    </row>
    <row r="267" spans="1:6" x14ac:dyDescent="0.25">
      <c r="A267">
        <v>256</v>
      </c>
      <c r="C267" s="5">
        <f t="shared" si="14"/>
        <v>-2498.5961312051695</v>
      </c>
      <c r="D267" s="5">
        <f t="shared" si="12"/>
        <v>-1589.4171253442744</v>
      </c>
      <c r="E267" s="5">
        <f t="shared" si="13"/>
        <v>-909.17900586089479</v>
      </c>
      <c r="F267" s="23">
        <f t="shared" si="15"/>
        <v>208990.54948980245</v>
      </c>
    </row>
    <row r="268" spans="1:6" x14ac:dyDescent="0.25">
      <c r="A268">
        <v>257</v>
      </c>
      <c r="C268" s="5">
        <f t="shared" si="14"/>
        <v>-2498.5961312051695</v>
      </c>
      <c r="D268" s="5">
        <f t="shared" ref="D268:D331" si="16">IFERROR(PPMT($C$2/$C$4,A268,$C$3*$C$4,$C$5),0)</f>
        <v>-1596.2794337829484</v>
      </c>
      <c r="E268" s="5">
        <f t="shared" ref="E268:E331" si="17">IFERROR(IPMT($C$2/$C$4,A268,$C$3*$C$4,$C$5),0)</f>
        <v>-902.31669742222107</v>
      </c>
      <c r="F268" s="23">
        <f t="shared" si="15"/>
        <v>207394.27005601951</v>
      </c>
    </row>
    <row r="269" spans="1:6" x14ac:dyDescent="0.25">
      <c r="A269">
        <v>258</v>
      </c>
      <c r="C269" s="5">
        <f t="shared" ref="C269:C332" si="18">PMT($C$2/$C$4,$C$3*$C$4,$C$5)</f>
        <v>-2498.5961312051695</v>
      </c>
      <c r="D269" s="5">
        <f t="shared" si="16"/>
        <v>-1603.1713702383063</v>
      </c>
      <c r="E269" s="5">
        <f t="shared" si="17"/>
        <v>-895.42476096686323</v>
      </c>
      <c r="F269" s="23">
        <f t="shared" ref="F269:F332" si="19">IFERROR(F268+D269,0)</f>
        <v>205791.09868578121</v>
      </c>
    </row>
    <row r="270" spans="1:6" x14ac:dyDescent="0.25">
      <c r="A270">
        <v>259</v>
      </c>
      <c r="C270" s="5">
        <f t="shared" si="18"/>
        <v>-2498.5961312051695</v>
      </c>
      <c r="D270" s="5">
        <f t="shared" si="16"/>
        <v>-1610.09306262931</v>
      </c>
      <c r="E270" s="5">
        <f t="shared" si="17"/>
        <v>-888.50306857585929</v>
      </c>
      <c r="F270" s="23">
        <f t="shared" si="19"/>
        <v>204181.0056231519</v>
      </c>
    </row>
    <row r="271" spans="1:6" x14ac:dyDescent="0.25">
      <c r="A271">
        <v>260</v>
      </c>
      <c r="C271" s="5">
        <f t="shared" si="18"/>
        <v>-2498.5961312051695</v>
      </c>
      <c r="D271" s="5">
        <f t="shared" si="16"/>
        <v>-1617.0446394272124</v>
      </c>
      <c r="E271" s="5">
        <f t="shared" si="17"/>
        <v>-881.55149177795727</v>
      </c>
      <c r="F271" s="23">
        <f t="shared" si="19"/>
        <v>202563.96098372468</v>
      </c>
    </row>
    <row r="272" spans="1:6" x14ac:dyDescent="0.25">
      <c r="A272">
        <v>261</v>
      </c>
      <c r="C272" s="5">
        <f t="shared" si="18"/>
        <v>-2498.5961312051695</v>
      </c>
      <c r="D272" s="5">
        <f t="shared" si="16"/>
        <v>-1624.026229657939</v>
      </c>
      <c r="E272" s="5">
        <f t="shared" si="17"/>
        <v>-874.56990154723019</v>
      </c>
      <c r="F272" s="23">
        <f t="shared" si="19"/>
        <v>200939.93475406675</v>
      </c>
    </row>
    <row r="273" spans="1:6" x14ac:dyDescent="0.25">
      <c r="A273">
        <v>262</v>
      </c>
      <c r="C273" s="5">
        <f t="shared" si="18"/>
        <v>-2498.5961312051695</v>
      </c>
      <c r="D273" s="5">
        <f t="shared" si="16"/>
        <v>-1631.0379629044874</v>
      </c>
      <c r="E273" s="5">
        <f t="shared" si="17"/>
        <v>-867.55816830068215</v>
      </c>
      <c r="F273" s="23">
        <f t="shared" si="19"/>
        <v>199308.89679116226</v>
      </c>
    </row>
    <row r="274" spans="1:6" x14ac:dyDescent="0.25">
      <c r="A274">
        <v>263</v>
      </c>
      <c r="C274" s="5">
        <f t="shared" si="18"/>
        <v>-2498.5961312051695</v>
      </c>
      <c r="D274" s="5">
        <f t="shared" si="16"/>
        <v>-1638.0799693093275</v>
      </c>
      <c r="E274" s="5">
        <f t="shared" si="17"/>
        <v>-860.51616189584195</v>
      </c>
      <c r="F274" s="23">
        <f t="shared" si="19"/>
        <v>197670.81682185293</v>
      </c>
    </row>
    <row r="275" spans="1:6" x14ac:dyDescent="0.25">
      <c r="A275">
        <v>264</v>
      </c>
      <c r="C275" s="5">
        <f t="shared" si="18"/>
        <v>-2498.5961312051695</v>
      </c>
      <c r="D275" s="5">
        <f t="shared" si="16"/>
        <v>-1645.1523795768205</v>
      </c>
      <c r="E275" s="5">
        <f t="shared" si="17"/>
        <v>-853.44375162834888</v>
      </c>
      <c r="F275" s="23">
        <f t="shared" si="19"/>
        <v>196025.66444227612</v>
      </c>
    </row>
    <row r="276" spans="1:6" x14ac:dyDescent="0.25">
      <c r="A276">
        <v>265</v>
      </c>
      <c r="C276" s="5">
        <f t="shared" si="18"/>
        <v>-2498.5961312051695</v>
      </c>
      <c r="D276" s="5">
        <f t="shared" si="16"/>
        <v>-1652.2553249756434</v>
      </c>
      <c r="E276" s="5">
        <f t="shared" si="17"/>
        <v>-846.34080622952604</v>
      </c>
      <c r="F276" s="23">
        <f t="shared" si="19"/>
        <v>194373.40911730047</v>
      </c>
    </row>
    <row r="277" spans="1:6" x14ac:dyDescent="0.25">
      <c r="A277">
        <v>266</v>
      </c>
      <c r="C277" s="5">
        <f t="shared" si="18"/>
        <v>-2498.5961312051695</v>
      </c>
      <c r="D277" s="5">
        <f t="shared" si="16"/>
        <v>-1659.3889373412255</v>
      </c>
      <c r="E277" s="5">
        <f t="shared" si="17"/>
        <v>-839.20719386394364</v>
      </c>
      <c r="F277" s="23">
        <f t="shared" si="19"/>
        <v>192714.02017995925</v>
      </c>
    </row>
    <row r="278" spans="1:6" x14ac:dyDescent="0.25">
      <c r="A278">
        <v>267</v>
      </c>
      <c r="C278" s="5">
        <f t="shared" si="18"/>
        <v>-2498.5961312051695</v>
      </c>
      <c r="D278" s="5">
        <f t="shared" si="16"/>
        <v>-1666.5533490781963</v>
      </c>
      <c r="E278" s="5">
        <f t="shared" si="17"/>
        <v>-832.04278212697307</v>
      </c>
      <c r="F278" s="23">
        <f t="shared" si="19"/>
        <v>191047.46683088105</v>
      </c>
    </row>
    <row r="279" spans="1:6" x14ac:dyDescent="0.25">
      <c r="A279">
        <v>268</v>
      </c>
      <c r="C279" s="5">
        <f t="shared" si="18"/>
        <v>-2498.5961312051695</v>
      </c>
      <c r="D279" s="5">
        <f t="shared" si="16"/>
        <v>-1673.7486931628418</v>
      </c>
      <c r="E279" s="5">
        <f t="shared" si="17"/>
        <v>-824.84743804232778</v>
      </c>
      <c r="F279" s="23">
        <f t="shared" si="19"/>
        <v>189373.71813771821</v>
      </c>
    </row>
    <row r="280" spans="1:6" x14ac:dyDescent="0.25">
      <c r="A280">
        <v>269</v>
      </c>
      <c r="C280" s="5">
        <f t="shared" si="18"/>
        <v>-2498.5961312051695</v>
      </c>
      <c r="D280" s="5">
        <f t="shared" si="16"/>
        <v>-1680.9751031455721</v>
      </c>
      <c r="E280" s="5">
        <f t="shared" si="17"/>
        <v>-817.62102805959717</v>
      </c>
      <c r="F280" s="23">
        <f t="shared" si="19"/>
        <v>187692.74303457263</v>
      </c>
    </row>
    <row r="281" spans="1:6" x14ac:dyDescent="0.25">
      <c r="A281">
        <v>270</v>
      </c>
      <c r="C281" s="5">
        <f t="shared" si="18"/>
        <v>-2498.5961312051695</v>
      </c>
      <c r="D281" s="5">
        <f t="shared" si="16"/>
        <v>-1688.232713153403</v>
      </c>
      <c r="E281" s="5">
        <f t="shared" si="17"/>
        <v>-810.36341805176619</v>
      </c>
      <c r="F281" s="23">
        <f t="shared" si="19"/>
        <v>186004.51032141922</v>
      </c>
    </row>
    <row r="282" spans="1:6" x14ac:dyDescent="0.25">
      <c r="A282">
        <v>271</v>
      </c>
      <c r="C282" s="5">
        <f t="shared" si="18"/>
        <v>-2498.5961312051695</v>
      </c>
      <c r="D282" s="5">
        <f t="shared" si="16"/>
        <v>-1695.521657892443</v>
      </c>
      <c r="E282" s="5">
        <f t="shared" si="17"/>
        <v>-803.07447331272635</v>
      </c>
      <c r="F282" s="23">
        <f t="shared" si="19"/>
        <v>184308.98866352678</v>
      </c>
    </row>
    <row r="283" spans="1:6" x14ac:dyDescent="0.25">
      <c r="A283">
        <v>272</v>
      </c>
      <c r="C283" s="5">
        <f t="shared" si="18"/>
        <v>-2498.5961312051695</v>
      </c>
      <c r="D283" s="5">
        <f t="shared" si="16"/>
        <v>-1702.8420726503937</v>
      </c>
      <c r="E283" s="5">
        <f t="shared" si="17"/>
        <v>-795.75405855477584</v>
      </c>
      <c r="F283" s="23">
        <f t="shared" si="19"/>
        <v>182606.14659087639</v>
      </c>
    </row>
    <row r="284" spans="1:6" x14ac:dyDescent="0.25">
      <c r="A284">
        <v>273</v>
      </c>
      <c r="C284" s="5">
        <f t="shared" si="18"/>
        <v>-2498.5961312051695</v>
      </c>
      <c r="D284" s="5">
        <f t="shared" si="16"/>
        <v>-1710.1940932990617</v>
      </c>
      <c r="E284" s="5">
        <f t="shared" si="17"/>
        <v>-788.40203790610769</v>
      </c>
      <c r="F284" s="23">
        <f t="shared" si="19"/>
        <v>180895.95249757732</v>
      </c>
    </row>
    <row r="285" spans="1:6" x14ac:dyDescent="0.25">
      <c r="A285">
        <v>274</v>
      </c>
      <c r="C285" s="5">
        <f t="shared" si="18"/>
        <v>-2498.5961312051695</v>
      </c>
      <c r="D285" s="5">
        <f t="shared" si="16"/>
        <v>-1717.5778562968803</v>
      </c>
      <c r="E285" s="5">
        <f t="shared" si="17"/>
        <v>-781.01827490828896</v>
      </c>
      <c r="F285" s="23">
        <f t="shared" si="19"/>
        <v>179178.37464128045</v>
      </c>
    </row>
    <row r="286" spans="1:6" x14ac:dyDescent="0.25">
      <c r="A286">
        <v>275</v>
      </c>
      <c r="C286" s="5">
        <f t="shared" si="18"/>
        <v>-2498.5961312051695</v>
      </c>
      <c r="D286" s="5">
        <f t="shared" si="16"/>
        <v>-1724.993498691442</v>
      </c>
      <c r="E286" s="5">
        <f t="shared" si="17"/>
        <v>-773.60263251372726</v>
      </c>
      <c r="F286" s="23">
        <f t="shared" si="19"/>
        <v>177453.381142589</v>
      </c>
    </row>
    <row r="287" spans="1:6" x14ac:dyDescent="0.25">
      <c r="A287">
        <v>276</v>
      </c>
      <c r="C287" s="5">
        <f t="shared" si="18"/>
        <v>-2498.5961312051695</v>
      </c>
      <c r="D287" s="5">
        <f t="shared" si="16"/>
        <v>-1732.4411581220425</v>
      </c>
      <c r="E287" s="5">
        <f t="shared" si="17"/>
        <v>-766.15497308312695</v>
      </c>
      <c r="F287" s="23">
        <f t="shared" si="19"/>
        <v>175720.93998446697</v>
      </c>
    </row>
    <row r="288" spans="1:6" x14ac:dyDescent="0.25">
      <c r="A288">
        <v>277</v>
      </c>
      <c r="C288" s="5">
        <f t="shared" si="18"/>
        <v>-2498.5961312051695</v>
      </c>
      <c r="D288" s="5">
        <f t="shared" si="16"/>
        <v>-1739.9209728222343</v>
      </c>
      <c r="E288" s="5">
        <f t="shared" si="17"/>
        <v>-758.67515838293491</v>
      </c>
      <c r="F288" s="23">
        <f t="shared" si="19"/>
        <v>173981.01901164473</v>
      </c>
    </row>
    <row r="289" spans="1:6" x14ac:dyDescent="0.25">
      <c r="A289">
        <v>278</v>
      </c>
      <c r="C289" s="5">
        <f t="shared" si="18"/>
        <v>-2498.5961312051695</v>
      </c>
      <c r="D289" s="5">
        <f t="shared" si="16"/>
        <v>-1747.4330816223946</v>
      </c>
      <c r="E289" s="5">
        <f t="shared" si="17"/>
        <v>-751.16304958277499</v>
      </c>
      <c r="F289" s="23">
        <f t="shared" si="19"/>
        <v>172233.58593002235</v>
      </c>
    </row>
    <row r="290" spans="1:6" x14ac:dyDescent="0.25">
      <c r="A290">
        <v>279</v>
      </c>
      <c r="C290" s="5">
        <f t="shared" si="18"/>
        <v>-2498.5961312051695</v>
      </c>
      <c r="D290" s="5">
        <f t="shared" si="16"/>
        <v>-1754.9776239522992</v>
      </c>
      <c r="E290" s="5">
        <f t="shared" si="17"/>
        <v>-743.61850725287013</v>
      </c>
      <c r="F290" s="23">
        <f t="shared" si="19"/>
        <v>170478.60830607006</v>
      </c>
    </row>
    <row r="291" spans="1:6" x14ac:dyDescent="0.25">
      <c r="A291">
        <v>280</v>
      </c>
      <c r="C291" s="5">
        <f t="shared" si="18"/>
        <v>-2498.5961312051695</v>
      </c>
      <c r="D291" s="5">
        <f t="shared" si="16"/>
        <v>-1762.5547398437132</v>
      </c>
      <c r="E291" s="5">
        <f t="shared" si="17"/>
        <v>-736.04139136145625</v>
      </c>
      <c r="F291" s="23">
        <f t="shared" si="19"/>
        <v>168716.05356622636</v>
      </c>
    </row>
    <row r="292" spans="1:6" x14ac:dyDescent="0.25">
      <c r="A292">
        <v>281</v>
      </c>
      <c r="C292" s="5">
        <f t="shared" si="18"/>
        <v>-2498.5961312051695</v>
      </c>
      <c r="D292" s="5">
        <f t="shared" si="16"/>
        <v>-1770.1645699329881</v>
      </c>
      <c r="E292" s="5">
        <f t="shared" si="17"/>
        <v>-728.43156127218094</v>
      </c>
      <c r="F292" s="23">
        <f t="shared" si="19"/>
        <v>166945.88899629336</v>
      </c>
    </row>
    <row r="293" spans="1:6" x14ac:dyDescent="0.25">
      <c r="A293">
        <v>282</v>
      </c>
      <c r="C293" s="5">
        <f t="shared" si="18"/>
        <v>-2498.5961312051695</v>
      </c>
      <c r="D293" s="5">
        <f t="shared" si="16"/>
        <v>-1777.807255463674</v>
      </c>
      <c r="E293" s="5">
        <f t="shared" si="17"/>
        <v>-720.7888757414953</v>
      </c>
      <c r="F293" s="23">
        <f t="shared" si="19"/>
        <v>165168.08174082969</v>
      </c>
    </row>
    <row r="294" spans="1:6" x14ac:dyDescent="0.25">
      <c r="A294">
        <v>283</v>
      </c>
      <c r="C294" s="5">
        <f t="shared" si="18"/>
        <v>-2498.5961312051695</v>
      </c>
      <c r="D294" s="5">
        <f t="shared" si="16"/>
        <v>-1785.4829382891382</v>
      </c>
      <c r="E294" s="5">
        <f t="shared" si="17"/>
        <v>-713.11319291603093</v>
      </c>
      <c r="F294" s="23">
        <f t="shared" si="19"/>
        <v>163382.59880254054</v>
      </c>
    </row>
    <row r="295" spans="1:6" x14ac:dyDescent="0.25">
      <c r="A295">
        <v>284</v>
      </c>
      <c r="C295" s="5">
        <f t="shared" si="18"/>
        <v>-2498.5961312051695</v>
      </c>
      <c r="D295" s="5">
        <f t="shared" si="16"/>
        <v>-1793.1917608752017</v>
      </c>
      <c r="E295" s="5">
        <f t="shared" si="17"/>
        <v>-705.40437032996749</v>
      </c>
      <c r="F295" s="23">
        <f t="shared" si="19"/>
        <v>161589.40704166534</v>
      </c>
    </row>
    <row r="296" spans="1:6" x14ac:dyDescent="0.25">
      <c r="A296">
        <v>285</v>
      </c>
      <c r="C296" s="5">
        <f t="shared" si="18"/>
        <v>-2498.5961312051695</v>
      </c>
      <c r="D296" s="5">
        <f t="shared" si="16"/>
        <v>-1800.9338663027804</v>
      </c>
      <c r="E296" s="5">
        <f t="shared" si="17"/>
        <v>-697.66226490238887</v>
      </c>
      <c r="F296" s="23">
        <f t="shared" si="19"/>
        <v>159788.47317536257</v>
      </c>
    </row>
    <row r="297" spans="1:6" x14ac:dyDescent="0.25">
      <c r="A297">
        <v>286</v>
      </c>
      <c r="C297" s="5">
        <f t="shared" si="18"/>
        <v>-2498.5961312051695</v>
      </c>
      <c r="D297" s="5">
        <f t="shared" si="16"/>
        <v>-1808.7093982705428</v>
      </c>
      <c r="E297" s="5">
        <f t="shared" si="17"/>
        <v>-689.88673293462671</v>
      </c>
      <c r="F297" s="23">
        <f t="shared" si="19"/>
        <v>157979.76377709201</v>
      </c>
    </row>
    <row r="298" spans="1:6" x14ac:dyDescent="0.25">
      <c r="A298">
        <v>287</v>
      </c>
      <c r="C298" s="5">
        <f t="shared" si="18"/>
        <v>-2498.5961312051695</v>
      </c>
      <c r="D298" s="5">
        <f t="shared" si="16"/>
        <v>-1816.5185010975756</v>
      </c>
      <c r="E298" s="5">
        <f t="shared" si="17"/>
        <v>-682.07763010759345</v>
      </c>
      <c r="F298" s="23">
        <f t="shared" si="19"/>
        <v>156163.24527599444</v>
      </c>
    </row>
    <row r="299" spans="1:6" x14ac:dyDescent="0.25">
      <c r="A299">
        <v>288</v>
      </c>
      <c r="C299" s="5">
        <f t="shared" si="18"/>
        <v>-2498.5961312051695</v>
      </c>
      <c r="D299" s="5">
        <f t="shared" si="16"/>
        <v>-1824.3613197260647</v>
      </c>
      <c r="E299" s="5">
        <f t="shared" si="17"/>
        <v>-674.23481147910479</v>
      </c>
      <c r="F299" s="23">
        <f t="shared" si="19"/>
        <v>154338.88395626837</v>
      </c>
    </row>
    <row r="300" spans="1:6" x14ac:dyDescent="0.25">
      <c r="A300">
        <v>289</v>
      </c>
      <c r="C300" s="5">
        <f t="shared" si="18"/>
        <v>-2498.5961312051695</v>
      </c>
      <c r="D300" s="5">
        <f t="shared" si="16"/>
        <v>-1832.2379997239816</v>
      </c>
      <c r="E300" s="5">
        <f t="shared" si="17"/>
        <v>-666.35813148118746</v>
      </c>
      <c r="F300" s="23">
        <f t="shared" si="19"/>
        <v>152506.64595654438</v>
      </c>
    </row>
    <row r="301" spans="1:6" x14ac:dyDescent="0.25">
      <c r="A301">
        <v>290</v>
      </c>
      <c r="C301" s="5">
        <f t="shared" si="18"/>
        <v>-2498.5961312051695</v>
      </c>
      <c r="D301" s="5">
        <f t="shared" si="16"/>
        <v>-1840.1486872877899</v>
      </c>
      <c r="E301" s="5">
        <f t="shared" si="17"/>
        <v>-658.44744391737925</v>
      </c>
      <c r="F301" s="23">
        <f t="shared" si="19"/>
        <v>150666.49726925659</v>
      </c>
    </row>
    <row r="302" spans="1:6" x14ac:dyDescent="0.25">
      <c r="A302">
        <v>291</v>
      </c>
      <c r="C302" s="5">
        <f t="shared" si="18"/>
        <v>-2498.5961312051695</v>
      </c>
      <c r="D302" s="5">
        <f t="shared" si="16"/>
        <v>-1848.0935292451552</v>
      </c>
      <c r="E302" s="5">
        <f t="shared" si="17"/>
        <v>-650.5026019600142</v>
      </c>
      <c r="F302" s="23">
        <f t="shared" si="19"/>
        <v>148818.40374001145</v>
      </c>
    </row>
    <row r="303" spans="1:6" x14ac:dyDescent="0.25">
      <c r="A303">
        <v>292</v>
      </c>
      <c r="C303" s="5">
        <f t="shared" si="18"/>
        <v>-2498.5961312051695</v>
      </c>
      <c r="D303" s="5">
        <f t="shared" si="16"/>
        <v>-1856.0726730576712</v>
      </c>
      <c r="E303" s="5">
        <f t="shared" si="17"/>
        <v>-642.52345814749822</v>
      </c>
      <c r="F303" s="23">
        <f t="shared" si="19"/>
        <v>146962.33106695378</v>
      </c>
    </row>
    <row r="304" spans="1:6" x14ac:dyDescent="0.25">
      <c r="A304">
        <v>293</v>
      </c>
      <c r="C304" s="5">
        <f t="shared" si="18"/>
        <v>-2498.5961312051695</v>
      </c>
      <c r="D304" s="5">
        <f t="shared" si="16"/>
        <v>-1864.0862668235977</v>
      </c>
      <c r="E304" s="5">
        <f t="shared" si="17"/>
        <v>-634.50986438157167</v>
      </c>
      <c r="F304" s="23">
        <f t="shared" si="19"/>
        <v>145098.24480013017</v>
      </c>
    </row>
    <row r="305" spans="1:6" x14ac:dyDescent="0.25">
      <c r="A305">
        <v>294</v>
      </c>
      <c r="C305" s="5">
        <f t="shared" si="18"/>
        <v>-2498.5961312051695</v>
      </c>
      <c r="D305" s="5">
        <f t="shared" si="16"/>
        <v>-1872.1344592806086</v>
      </c>
      <c r="E305" s="5">
        <f t="shared" si="17"/>
        <v>-626.46167192456085</v>
      </c>
      <c r="F305" s="23">
        <f t="shared" si="19"/>
        <v>143226.11034084955</v>
      </c>
    </row>
    <row r="306" spans="1:6" x14ac:dyDescent="0.25">
      <c r="A306">
        <v>295</v>
      </c>
      <c r="C306" s="5">
        <f t="shared" si="18"/>
        <v>-2498.5961312051695</v>
      </c>
      <c r="D306" s="5">
        <f t="shared" si="16"/>
        <v>-1880.2173998085527</v>
      </c>
      <c r="E306" s="5">
        <f t="shared" si="17"/>
        <v>-618.37873139661667</v>
      </c>
      <c r="F306" s="23">
        <f t="shared" si="19"/>
        <v>141345.89294104101</v>
      </c>
    </row>
    <row r="307" spans="1:6" x14ac:dyDescent="0.25">
      <c r="A307">
        <v>296</v>
      </c>
      <c r="C307" s="5">
        <f t="shared" si="18"/>
        <v>-2498.5961312051695</v>
      </c>
      <c r="D307" s="5">
        <f t="shared" si="16"/>
        <v>-1888.3352384322259</v>
      </c>
      <c r="E307" s="5">
        <f t="shared" si="17"/>
        <v>-610.26089277294329</v>
      </c>
      <c r="F307" s="23">
        <f t="shared" si="19"/>
        <v>139457.55770260878</v>
      </c>
    </row>
    <row r="308" spans="1:6" x14ac:dyDescent="0.25">
      <c r="A308">
        <v>297</v>
      </c>
      <c r="C308" s="5">
        <f t="shared" si="18"/>
        <v>-2498.5961312051695</v>
      </c>
      <c r="D308" s="5">
        <f t="shared" si="16"/>
        <v>-1896.4881258241571</v>
      </c>
      <c r="E308" s="5">
        <f t="shared" si="17"/>
        <v>-602.10800538101216</v>
      </c>
      <c r="F308" s="23">
        <f t="shared" si="19"/>
        <v>137561.06957678462</v>
      </c>
    </row>
    <row r="309" spans="1:6" x14ac:dyDescent="0.25">
      <c r="A309">
        <v>298</v>
      </c>
      <c r="C309" s="5">
        <f t="shared" si="18"/>
        <v>-2498.5961312051695</v>
      </c>
      <c r="D309" s="5">
        <f t="shared" si="16"/>
        <v>-1904.676213307403</v>
      </c>
      <c r="E309" s="5">
        <f t="shared" si="17"/>
        <v>-593.91991789776637</v>
      </c>
      <c r="F309" s="23">
        <f t="shared" si="19"/>
        <v>135656.39336347723</v>
      </c>
    </row>
    <row r="310" spans="1:6" x14ac:dyDescent="0.25">
      <c r="A310">
        <v>299</v>
      </c>
      <c r="C310" s="5">
        <f t="shared" si="18"/>
        <v>-2498.5961312051695</v>
      </c>
      <c r="D310" s="5">
        <f t="shared" si="16"/>
        <v>-1912.8996528583575</v>
      </c>
      <c r="E310" s="5">
        <f t="shared" si="17"/>
        <v>-585.69647834681166</v>
      </c>
      <c r="F310" s="23">
        <f t="shared" si="19"/>
        <v>133743.49371061887</v>
      </c>
    </row>
    <row r="311" spans="1:6" x14ac:dyDescent="0.25">
      <c r="A311">
        <v>300</v>
      </c>
      <c r="C311" s="5">
        <f t="shared" si="18"/>
        <v>-2498.5961312051695</v>
      </c>
      <c r="D311" s="5">
        <f t="shared" si="16"/>
        <v>-1921.1585971095735</v>
      </c>
      <c r="E311" s="5">
        <f t="shared" si="17"/>
        <v>-577.43753409559565</v>
      </c>
      <c r="F311" s="23">
        <f t="shared" si="19"/>
        <v>131822.3351135093</v>
      </c>
    </row>
    <row r="312" spans="1:6" x14ac:dyDescent="0.25">
      <c r="A312">
        <v>301</v>
      </c>
      <c r="C312" s="5">
        <f t="shared" si="18"/>
        <v>-2498.5961312051695</v>
      </c>
      <c r="D312" s="5">
        <f t="shared" si="16"/>
        <v>-1929.4531993525941</v>
      </c>
      <c r="E312" s="5">
        <f t="shared" si="17"/>
        <v>-569.14293185257532</v>
      </c>
      <c r="F312" s="23">
        <f t="shared" si="19"/>
        <v>129892.88191415671</v>
      </c>
    </row>
    <row r="313" spans="1:6" x14ac:dyDescent="0.25">
      <c r="A313">
        <v>302</v>
      </c>
      <c r="C313" s="5">
        <f t="shared" si="18"/>
        <v>-2498.5961312051695</v>
      </c>
      <c r="D313" s="5">
        <f t="shared" si="16"/>
        <v>-1937.783613540799</v>
      </c>
      <c r="E313" s="5">
        <f t="shared" si="17"/>
        <v>-560.81251766437038</v>
      </c>
      <c r="F313" s="23">
        <f t="shared" si="19"/>
        <v>127955.09830061591</v>
      </c>
    </row>
    <row r="314" spans="1:6" x14ac:dyDescent="0.25">
      <c r="A314">
        <v>303</v>
      </c>
      <c r="C314" s="5">
        <f t="shared" si="18"/>
        <v>-2498.5961312051695</v>
      </c>
      <c r="D314" s="5">
        <f t="shared" si="16"/>
        <v>-1946.1499942922612</v>
      </c>
      <c r="E314" s="5">
        <f t="shared" si="17"/>
        <v>-552.44613691290795</v>
      </c>
      <c r="F314" s="23">
        <f t="shared" si="19"/>
        <v>126008.94830632364</v>
      </c>
    </row>
    <row r="315" spans="1:6" x14ac:dyDescent="0.25">
      <c r="A315">
        <v>304</v>
      </c>
      <c r="C315" s="5">
        <f t="shared" si="18"/>
        <v>-2498.5961312051695</v>
      </c>
      <c r="D315" s="5">
        <f t="shared" si="16"/>
        <v>-1954.5524968926184</v>
      </c>
      <c r="E315" s="5">
        <f t="shared" si="17"/>
        <v>-544.04363431255115</v>
      </c>
      <c r="F315" s="23">
        <f t="shared" si="19"/>
        <v>124054.39580943102</v>
      </c>
    </row>
    <row r="316" spans="1:6" x14ac:dyDescent="0.25">
      <c r="A316">
        <v>305</v>
      </c>
      <c r="C316" s="5">
        <f t="shared" si="18"/>
        <v>-2498.5961312051695</v>
      </c>
      <c r="D316" s="5">
        <f t="shared" si="16"/>
        <v>-1962.9912772979521</v>
      </c>
      <c r="E316" s="5">
        <f t="shared" si="17"/>
        <v>-535.60485390721726</v>
      </c>
      <c r="F316" s="23">
        <f t="shared" si="19"/>
        <v>122091.40453213306</v>
      </c>
    </row>
    <row r="317" spans="1:6" x14ac:dyDescent="0.25">
      <c r="A317">
        <v>306</v>
      </c>
      <c r="C317" s="5">
        <f t="shared" si="18"/>
        <v>-2498.5961312051695</v>
      </c>
      <c r="D317" s="5">
        <f t="shared" si="16"/>
        <v>-1971.4664921376857</v>
      </c>
      <c r="E317" s="5">
        <f t="shared" si="17"/>
        <v>-527.12963906748325</v>
      </c>
      <c r="F317" s="23">
        <f t="shared" si="19"/>
        <v>120119.93803999538</v>
      </c>
    </row>
    <row r="318" spans="1:6" x14ac:dyDescent="0.25">
      <c r="A318">
        <v>307</v>
      </c>
      <c r="C318" s="5">
        <f t="shared" si="18"/>
        <v>-2498.5961312051695</v>
      </c>
      <c r="D318" s="5">
        <f t="shared" si="16"/>
        <v>-1979.9782987174904</v>
      </c>
      <c r="E318" s="5">
        <f t="shared" si="17"/>
        <v>-518.61783248767892</v>
      </c>
      <c r="F318" s="23">
        <f t="shared" si="19"/>
        <v>118139.9597412779</v>
      </c>
    </row>
    <row r="319" spans="1:6" x14ac:dyDescent="0.25">
      <c r="A319">
        <v>308</v>
      </c>
      <c r="C319" s="5">
        <f t="shared" si="18"/>
        <v>-2498.5961312051695</v>
      </c>
      <c r="D319" s="5">
        <f t="shared" si="16"/>
        <v>-1988.5268550222031</v>
      </c>
      <c r="E319" s="5">
        <f t="shared" si="17"/>
        <v>-510.06927618296606</v>
      </c>
      <c r="F319" s="23">
        <f t="shared" si="19"/>
        <v>116151.43288625569</v>
      </c>
    </row>
    <row r="320" spans="1:6" x14ac:dyDescent="0.25">
      <c r="A320">
        <v>309</v>
      </c>
      <c r="C320" s="5">
        <f t="shared" si="18"/>
        <v>-2498.5961312051695</v>
      </c>
      <c r="D320" s="5">
        <f t="shared" si="16"/>
        <v>-1997.1123197187617</v>
      </c>
      <c r="E320" s="5">
        <f t="shared" si="17"/>
        <v>-501.48381148640777</v>
      </c>
      <c r="F320" s="23">
        <f t="shared" si="19"/>
        <v>114154.32056653693</v>
      </c>
    </row>
    <row r="321" spans="1:6" x14ac:dyDescent="0.25">
      <c r="A321">
        <v>310</v>
      </c>
      <c r="C321" s="5">
        <f t="shared" si="18"/>
        <v>-2498.5961312051695</v>
      </c>
      <c r="D321" s="5">
        <f t="shared" si="16"/>
        <v>-2005.7348521591473</v>
      </c>
      <c r="E321" s="5">
        <f t="shared" si="17"/>
        <v>-492.86127904602205</v>
      </c>
      <c r="F321" s="23">
        <f t="shared" si="19"/>
        <v>112148.58571437778</v>
      </c>
    </row>
    <row r="322" spans="1:6" x14ac:dyDescent="0.25">
      <c r="A322">
        <v>311</v>
      </c>
      <c r="C322" s="5">
        <f t="shared" si="18"/>
        <v>-2498.5961312051695</v>
      </c>
      <c r="D322" s="5">
        <f t="shared" si="16"/>
        <v>-2014.3946123833443</v>
      </c>
      <c r="E322" s="5">
        <f t="shared" si="17"/>
        <v>-484.20151882182489</v>
      </c>
      <c r="F322" s="23">
        <f t="shared" si="19"/>
        <v>110134.19110199444</v>
      </c>
    </row>
    <row r="323" spans="1:6" x14ac:dyDescent="0.25">
      <c r="A323">
        <v>312</v>
      </c>
      <c r="C323" s="5">
        <f t="shared" si="18"/>
        <v>-2498.5961312051695</v>
      </c>
      <c r="D323" s="5">
        <f t="shared" si="16"/>
        <v>-2023.0917611223097</v>
      </c>
      <c r="E323" s="5">
        <f t="shared" si="17"/>
        <v>-475.50437008285974</v>
      </c>
      <c r="F323" s="23">
        <f t="shared" si="19"/>
        <v>108111.09934087213</v>
      </c>
    </row>
    <row r="324" spans="1:6" x14ac:dyDescent="0.25">
      <c r="A324">
        <v>313</v>
      </c>
      <c r="C324" s="5">
        <f t="shared" si="18"/>
        <v>-2498.5961312051695</v>
      </c>
      <c r="D324" s="5">
        <f t="shared" si="16"/>
        <v>-2031.826459800955</v>
      </c>
      <c r="E324" s="5">
        <f t="shared" si="17"/>
        <v>-466.76967140421425</v>
      </c>
      <c r="F324" s="23">
        <f t="shared" si="19"/>
        <v>106079.27288107117</v>
      </c>
    </row>
    <row r="325" spans="1:6" x14ac:dyDescent="0.25">
      <c r="A325">
        <v>314</v>
      </c>
      <c r="C325" s="5">
        <f t="shared" si="18"/>
        <v>-2498.5961312051695</v>
      </c>
      <c r="D325" s="5">
        <f t="shared" si="16"/>
        <v>-2040.5988705411457</v>
      </c>
      <c r="E325" s="5">
        <f t="shared" si="17"/>
        <v>-457.9972606640236</v>
      </c>
      <c r="F325" s="23">
        <f t="shared" si="19"/>
        <v>104038.67401053003</v>
      </c>
    </row>
    <row r="326" spans="1:6" x14ac:dyDescent="0.25">
      <c r="A326">
        <v>315</v>
      </c>
      <c r="C326" s="5">
        <f t="shared" si="18"/>
        <v>-2498.5961312051695</v>
      </c>
      <c r="D326" s="5">
        <f t="shared" si="16"/>
        <v>-2049.4091561647069</v>
      </c>
      <c r="E326" s="5">
        <f t="shared" si="17"/>
        <v>-449.18697504046213</v>
      </c>
      <c r="F326" s="23">
        <f t="shared" si="19"/>
        <v>101989.26485436532</v>
      </c>
    </row>
    <row r="327" spans="1:6" x14ac:dyDescent="0.25">
      <c r="A327">
        <v>316</v>
      </c>
      <c r="C327" s="5">
        <f t="shared" si="18"/>
        <v>-2498.5961312051695</v>
      </c>
      <c r="D327" s="5">
        <f t="shared" si="16"/>
        <v>-2058.2574801964483</v>
      </c>
      <c r="E327" s="5">
        <f t="shared" si="17"/>
        <v>-440.338651008721</v>
      </c>
      <c r="F327" s="23">
        <f t="shared" si="19"/>
        <v>99931.007374168868</v>
      </c>
    </row>
    <row r="328" spans="1:6" x14ac:dyDescent="0.25">
      <c r="A328">
        <v>317</v>
      </c>
      <c r="C328" s="5">
        <f t="shared" si="18"/>
        <v>-2498.5961312051695</v>
      </c>
      <c r="D328" s="5">
        <f t="shared" si="16"/>
        <v>-2067.1440068671968</v>
      </c>
      <c r="E328" s="5">
        <f t="shared" si="17"/>
        <v>-431.45212433797292</v>
      </c>
      <c r="F328" s="23">
        <f t="shared" si="19"/>
        <v>97863.863367301674</v>
      </c>
    </row>
    <row r="329" spans="1:6" x14ac:dyDescent="0.25">
      <c r="A329">
        <v>318</v>
      </c>
      <c r="C329" s="5">
        <f t="shared" si="18"/>
        <v>-2498.5961312051695</v>
      </c>
      <c r="D329" s="5">
        <f t="shared" si="16"/>
        <v>-2076.0689011168456</v>
      </c>
      <c r="E329" s="5">
        <f t="shared" si="17"/>
        <v>-422.52723008832379</v>
      </c>
      <c r="F329" s="23">
        <f t="shared" si="19"/>
        <v>95787.794466184831</v>
      </c>
    </row>
    <row r="330" spans="1:6" x14ac:dyDescent="0.25">
      <c r="A330">
        <v>319</v>
      </c>
      <c r="C330" s="5">
        <f t="shared" si="18"/>
        <v>-2498.5961312051695</v>
      </c>
      <c r="D330" s="5">
        <f t="shared" si="16"/>
        <v>-2085.0323285974177</v>
      </c>
      <c r="E330" s="5">
        <f t="shared" si="17"/>
        <v>-413.56380260775182</v>
      </c>
      <c r="F330" s="23">
        <f t="shared" si="19"/>
        <v>93702.762137587415</v>
      </c>
    </row>
    <row r="331" spans="1:6" x14ac:dyDescent="0.25">
      <c r="A331">
        <v>320</v>
      </c>
      <c r="C331" s="5">
        <f t="shared" si="18"/>
        <v>-2498.5961312051695</v>
      </c>
      <c r="D331" s="5">
        <f t="shared" si="16"/>
        <v>-2094.034455676137</v>
      </c>
      <c r="E331" s="5">
        <f t="shared" si="17"/>
        <v>-404.56167552903241</v>
      </c>
      <c r="F331" s="23">
        <f t="shared" si="19"/>
        <v>91608.727681911274</v>
      </c>
    </row>
    <row r="332" spans="1:6" x14ac:dyDescent="0.25">
      <c r="A332">
        <v>321</v>
      </c>
      <c r="C332" s="5">
        <f t="shared" si="18"/>
        <v>-2498.5961312051695</v>
      </c>
      <c r="D332" s="5">
        <f t="shared" ref="D332:D371" si="20">IFERROR(PPMT($C$2/$C$4,A332,$C$3*$C$4,$C$5),0)</f>
        <v>-2103.0754494385187</v>
      </c>
      <c r="E332" s="5">
        <f t="shared" ref="E332:E371" si="21">IFERROR(IPMT($C$2/$C$4,A332,$C$3*$C$4,$C$5),0)</f>
        <v>-395.52068176665074</v>
      </c>
      <c r="F332" s="23">
        <f t="shared" si="19"/>
        <v>89505.652232472756</v>
      </c>
    </row>
    <row r="333" spans="1:6" x14ac:dyDescent="0.25">
      <c r="A333">
        <v>322</v>
      </c>
      <c r="C333" s="5">
        <f t="shared" ref="C333:C371" si="22">PMT($C$2/$C$4,$C$3*$C$4,$C$5)</f>
        <v>-2498.5961312051695</v>
      </c>
      <c r="D333" s="5">
        <f t="shared" si="20"/>
        <v>-2112.1554776914695</v>
      </c>
      <c r="E333" s="5">
        <f t="shared" si="21"/>
        <v>-386.44065351369994</v>
      </c>
      <c r="F333" s="23">
        <f t="shared" ref="F333:F371" si="23">IFERROR(F332+D333,0)</f>
        <v>87393.496754781285</v>
      </c>
    </row>
    <row r="334" spans="1:6" x14ac:dyDescent="0.25">
      <c r="A334">
        <v>323</v>
      </c>
      <c r="C334" s="5">
        <f t="shared" si="22"/>
        <v>-2498.5961312051695</v>
      </c>
      <c r="D334" s="5">
        <f t="shared" si="20"/>
        <v>-2121.2747089664026</v>
      </c>
      <c r="E334" s="5">
        <f t="shared" si="21"/>
        <v>-377.32142223876701</v>
      </c>
      <c r="F334" s="23">
        <f t="shared" si="23"/>
        <v>85272.22204581488</v>
      </c>
    </row>
    <row r="335" spans="1:6" x14ac:dyDescent="0.25">
      <c r="A335">
        <v>324</v>
      </c>
      <c r="C335" s="5">
        <f t="shared" si="22"/>
        <v>-2498.5961312051695</v>
      </c>
      <c r="D335" s="5">
        <f t="shared" si="20"/>
        <v>-2130.4333125223648</v>
      </c>
      <c r="E335" s="5">
        <f t="shared" si="21"/>
        <v>-368.16281868280458</v>
      </c>
      <c r="F335" s="23">
        <f t="shared" si="23"/>
        <v>83141.788733292517</v>
      </c>
    </row>
    <row r="336" spans="1:6" x14ac:dyDescent="0.25">
      <c r="A336">
        <v>325</v>
      </c>
      <c r="C336" s="5">
        <f t="shared" si="22"/>
        <v>-2498.5961312051695</v>
      </c>
      <c r="D336" s="5">
        <f t="shared" si="20"/>
        <v>-2139.6314583491799</v>
      </c>
      <c r="E336" s="5">
        <f t="shared" si="21"/>
        <v>-358.96467285598925</v>
      </c>
      <c r="F336" s="23">
        <f t="shared" si="23"/>
        <v>81002.15727494334</v>
      </c>
    </row>
    <row r="337" spans="1:6" x14ac:dyDescent="0.25">
      <c r="A337">
        <v>326</v>
      </c>
      <c r="C337" s="5">
        <f t="shared" si="22"/>
        <v>-2498.5961312051695</v>
      </c>
      <c r="D337" s="5">
        <f t="shared" si="20"/>
        <v>-2148.8693171706027</v>
      </c>
      <c r="E337" s="5">
        <f t="shared" si="21"/>
        <v>-349.7268140345667</v>
      </c>
      <c r="F337" s="23">
        <f t="shared" si="23"/>
        <v>78853.287957772744</v>
      </c>
    </row>
    <row r="338" spans="1:6" x14ac:dyDescent="0.25">
      <c r="A338">
        <v>327</v>
      </c>
      <c r="C338" s="5">
        <f t="shared" si="22"/>
        <v>-2498.5961312051695</v>
      </c>
      <c r="D338" s="5">
        <f t="shared" si="20"/>
        <v>-2158.1470604474866</v>
      </c>
      <c r="E338" s="5">
        <f t="shared" si="21"/>
        <v>-340.44907075768259</v>
      </c>
      <c r="F338" s="23">
        <f t="shared" si="23"/>
        <v>76695.140897325255</v>
      </c>
    </row>
    <row r="339" spans="1:6" x14ac:dyDescent="0.25">
      <c r="A339">
        <v>328</v>
      </c>
      <c r="C339" s="5">
        <f t="shared" si="22"/>
        <v>-2498.5961312051695</v>
      </c>
      <c r="D339" s="5">
        <f t="shared" si="20"/>
        <v>-2167.4648603809687</v>
      </c>
      <c r="E339" s="5">
        <f t="shared" si="21"/>
        <v>-331.13127082420056</v>
      </c>
      <c r="F339" s="23">
        <f t="shared" si="23"/>
        <v>74527.676036944293</v>
      </c>
    </row>
    <row r="340" spans="1:6" x14ac:dyDescent="0.25">
      <c r="A340">
        <v>329</v>
      </c>
      <c r="C340" s="5">
        <f t="shared" si="22"/>
        <v>-2498.5961312051695</v>
      </c>
      <c r="D340" s="5">
        <f t="shared" si="20"/>
        <v>-2176.8228899156634</v>
      </c>
      <c r="E340" s="5">
        <f t="shared" si="21"/>
        <v>-321.77324128950573</v>
      </c>
      <c r="F340" s="23">
        <f t="shared" si="23"/>
        <v>72350.853147028625</v>
      </c>
    </row>
    <row r="341" spans="1:6" x14ac:dyDescent="0.25">
      <c r="A341">
        <v>330</v>
      </c>
      <c r="C341" s="5">
        <f t="shared" si="22"/>
        <v>-2498.5961312051695</v>
      </c>
      <c r="D341" s="5">
        <f t="shared" si="20"/>
        <v>-2186.2213227428742</v>
      </c>
      <c r="E341" s="5">
        <f t="shared" si="21"/>
        <v>-312.37480846229488</v>
      </c>
      <c r="F341" s="23">
        <f t="shared" si="23"/>
        <v>70164.631824285752</v>
      </c>
    </row>
    <row r="342" spans="1:6" x14ac:dyDescent="0.25">
      <c r="A342">
        <v>331</v>
      </c>
      <c r="C342" s="5">
        <f t="shared" si="22"/>
        <v>-2498.5961312051695</v>
      </c>
      <c r="D342" s="5">
        <f t="shared" si="20"/>
        <v>-2195.660333303817</v>
      </c>
      <c r="E342" s="5">
        <f t="shared" si="21"/>
        <v>-302.93579790135249</v>
      </c>
      <c r="F342" s="23">
        <f t="shared" si="23"/>
        <v>67968.97149098193</v>
      </c>
    </row>
    <row r="343" spans="1:6" x14ac:dyDescent="0.25">
      <c r="A343">
        <v>332</v>
      </c>
      <c r="C343" s="5">
        <f t="shared" si="22"/>
        <v>-2498.5961312051695</v>
      </c>
      <c r="D343" s="5">
        <f t="shared" si="20"/>
        <v>-2205.1400967928562</v>
      </c>
      <c r="E343" s="5">
        <f t="shared" si="21"/>
        <v>-293.45603441231333</v>
      </c>
      <c r="F343" s="23">
        <f t="shared" si="23"/>
        <v>65763.831394189081</v>
      </c>
    </row>
    <row r="344" spans="1:6" x14ac:dyDescent="0.25">
      <c r="A344">
        <v>333</v>
      </c>
      <c r="C344" s="5">
        <f t="shared" si="22"/>
        <v>-2498.5961312051695</v>
      </c>
      <c r="D344" s="5">
        <f t="shared" si="20"/>
        <v>-2214.6607891607596</v>
      </c>
      <c r="E344" s="5">
        <f t="shared" si="21"/>
        <v>-283.93534204441011</v>
      </c>
      <c r="F344" s="23">
        <f t="shared" si="23"/>
        <v>63549.170605028325</v>
      </c>
    </row>
    <row r="345" spans="1:6" x14ac:dyDescent="0.25">
      <c r="A345">
        <v>334</v>
      </c>
      <c r="C345" s="5">
        <f t="shared" si="22"/>
        <v>-2498.5961312051695</v>
      </c>
      <c r="D345" s="5">
        <f t="shared" si="20"/>
        <v>-2224.2225871179612</v>
      </c>
      <c r="E345" s="5">
        <f t="shared" si="21"/>
        <v>-274.37354408720853</v>
      </c>
      <c r="F345" s="23">
        <f t="shared" si="23"/>
        <v>61324.948017910363</v>
      </c>
    </row>
    <row r="346" spans="1:6" x14ac:dyDescent="0.25">
      <c r="A346">
        <v>335</v>
      </c>
      <c r="C346" s="5">
        <f t="shared" si="22"/>
        <v>-2498.5961312051695</v>
      </c>
      <c r="D346" s="5">
        <f t="shared" si="20"/>
        <v>-2233.8256681378425</v>
      </c>
      <c r="E346" s="5">
        <f t="shared" si="21"/>
        <v>-264.77046306732672</v>
      </c>
      <c r="F346" s="23">
        <f t="shared" si="23"/>
        <v>59091.122349772522</v>
      </c>
    </row>
    <row r="347" spans="1:6" x14ac:dyDescent="0.25">
      <c r="A347">
        <v>336</v>
      </c>
      <c r="C347" s="5">
        <f t="shared" si="22"/>
        <v>-2498.5961312051695</v>
      </c>
      <c r="D347" s="5">
        <f t="shared" si="20"/>
        <v>-2243.4702104600278</v>
      </c>
      <c r="E347" s="5">
        <f t="shared" si="21"/>
        <v>-255.1259207451416</v>
      </c>
      <c r="F347" s="23">
        <f t="shared" si="23"/>
        <v>56847.652139312493</v>
      </c>
    </row>
    <row r="348" spans="1:6" x14ac:dyDescent="0.25">
      <c r="A348">
        <v>337</v>
      </c>
      <c r="C348" s="5">
        <f t="shared" si="22"/>
        <v>-2498.5961312051695</v>
      </c>
      <c r="D348" s="5">
        <f t="shared" si="20"/>
        <v>-2253.1563930936886</v>
      </c>
      <c r="E348" s="5">
        <f t="shared" si="21"/>
        <v>-245.43973811148041</v>
      </c>
      <c r="F348" s="23">
        <f t="shared" si="23"/>
        <v>54594.495746218803</v>
      </c>
    </row>
    <row r="349" spans="1:6" x14ac:dyDescent="0.25">
      <c r="A349">
        <v>338</v>
      </c>
      <c r="C349" s="5">
        <f t="shared" si="22"/>
        <v>-2498.5961312051695</v>
      </c>
      <c r="D349" s="5">
        <f t="shared" si="20"/>
        <v>-2262.8843958208709</v>
      </c>
      <c r="E349" s="5">
        <f t="shared" si="21"/>
        <v>-235.71173538429841</v>
      </c>
      <c r="F349" s="23">
        <f t="shared" si="23"/>
        <v>52331.611350397929</v>
      </c>
    </row>
    <row r="350" spans="1:6" x14ac:dyDescent="0.25">
      <c r="A350">
        <v>339</v>
      </c>
      <c r="C350" s="5">
        <f t="shared" si="22"/>
        <v>-2498.5961312051695</v>
      </c>
      <c r="D350" s="5">
        <f t="shared" si="20"/>
        <v>-2272.6543991998278</v>
      </c>
      <c r="E350" s="5">
        <f t="shared" si="21"/>
        <v>-225.94173200534181</v>
      </c>
      <c r="F350" s="23">
        <f t="shared" si="23"/>
        <v>50058.956951198103</v>
      </c>
    </row>
    <row r="351" spans="1:6" x14ac:dyDescent="0.25">
      <c r="A351">
        <v>340</v>
      </c>
      <c r="C351" s="5">
        <f t="shared" si="22"/>
        <v>-2498.5961312051695</v>
      </c>
      <c r="D351" s="5">
        <f t="shared" si="20"/>
        <v>-2282.4665845683726</v>
      </c>
      <c r="E351" s="5">
        <f t="shared" si="21"/>
        <v>-216.12954663679656</v>
      </c>
      <c r="F351" s="23">
        <f t="shared" si="23"/>
        <v>47776.490366629732</v>
      </c>
    </row>
    <row r="352" spans="1:6" x14ac:dyDescent="0.25">
      <c r="A352">
        <v>341</v>
      </c>
      <c r="C352" s="5">
        <f t="shared" si="22"/>
        <v>-2498.5961312051695</v>
      </c>
      <c r="D352" s="5">
        <f t="shared" si="20"/>
        <v>-2292.3211340472467</v>
      </c>
      <c r="E352" s="5">
        <f t="shared" si="21"/>
        <v>-206.27499715792263</v>
      </c>
      <c r="F352" s="23">
        <f t="shared" si="23"/>
        <v>45484.169232582484</v>
      </c>
    </row>
    <row r="353" spans="1:6" x14ac:dyDescent="0.25">
      <c r="A353">
        <v>342</v>
      </c>
      <c r="C353" s="5">
        <f t="shared" si="22"/>
        <v>-2498.5961312051695</v>
      </c>
      <c r="D353" s="5">
        <f t="shared" si="20"/>
        <v>-2302.2182305434958</v>
      </c>
      <c r="E353" s="5">
        <f t="shared" si="21"/>
        <v>-196.37790066167364</v>
      </c>
      <c r="F353" s="23">
        <f t="shared" si="23"/>
        <v>43181.951002038986</v>
      </c>
    </row>
    <row r="354" spans="1:6" x14ac:dyDescent="0.25">
      <c r="A354">
        <v>343</v>
      </c>
      <c r="C354" s="5">
        <f t="shared" si="22"/>
        <v>-2498.5961312051695</v>
      </c>
      <c r="D354" s="5">
        <f t="shared" si="20"/>
        <v>-2312.1580577538675</v>
      </c>
      <c r="E354" s="5">
        <f t="shared" si="21"/>
        <v>-186.43807345130207</v>
      </c>
      <c r="F354" s="23">
        <f t="shared" si="23"/>
        <v>40869.792944285116</v>
      </c>
    </row>
    <row r="355" spans="1:6" x14ac:dyDescent="0.25">
      <c r="A355">
        <v>344</v>
      </c>
      <c r="C355" s="5">
        <f t="shared" si="22"/>
        <v>-2498.5961312051695</v>
      </c>
      <c r="D355" s="5">
        <f t="shared" si="20"/>
        <v>-2322.1408001682194</v>
      </c>
      <c r="E355" s="5">
        <f t="shared" si="21"/>
        <v>-176.45533103694976</v>
      </c>
      <c r="F355" s="23">
        <f t="shared" si="23"/>
        <v>38547.652144116895</v>
      </c>
    </row>
    <row r="356" spans="1:6" x14ac:dyDescent="0.25">
      <c r="A356">
        <v>345</v>
      </c>
      <c r="C356" s="5">
        <f t="shared" si="22"/>
        <v>-2498.5961312051695</v>
      </c>
      <c r="D356" s="5">
        <f t="shared" si="20"/>
        <v>-2332.166643072946</v>
      </c>
      <c r="E356" s="5">
        <f t="shared" si="21"/>
        <v>-166.42948813222347</v>
      </c>
      <c r="F356" s="23">
        <f t="shared" si="23"/>
        <v>36215.48550104395</v>
      </c>
    </row>
    <row r="357" spans="1:6" x14ac:dyDescent="0.25">
      <c r="A357">
        <v>346</v>
      </c>
      <c r="C357" s="5">
        <f t="shared" si="22"/>
        <v>-2498.5961312051695</v>
      </c>
      <c r="D357" s="5">
        <f t="shared" si="20"/>
        <v>-2342.235772554413</v>
      </c>
      <c r="E357" s="5">
        <f t="shared" si="21"/>
        <v>-156.36035865075601</v>
      </c>
      <c r="F357" s="23">
        <f t="shared" si="23"/>
        <v>33873.249728489536</v>
      </c>
    </row>
    <row r="358" spans="1:6" x14ac:dyDescent="0.25">
      <c r="A358">
        <v>347</v>
      </c>
      <c r="C358" s="5">
        <f t="shared" si="22"/>
        <v>-2498.5961312051695</v>
      </c>
      <c r="D358" s="5">
        <f t="shared" si="20"/>
        <v>-2352.3483755024167</v>
      </c>
      <c r="E358" s="5">
        <f t="shared" si="21"/>
        <v>-146.24775570275233</v>
      </c>
      <c r="F358" s="23">
        <f t="shared" si="23"/>
        <v>31520.901352987119</v>
      </c>
    </row>
    <row r="359" spans="1:6" x14ac:dyDescent="0.25">
      <c r="A359">
        <v>348</v>
      </c>
      <c r="C359" s="5">
        <f t="shared" si="22"/>
        <v>-2498.5961312051695</v>
      </c>
      <c r="D359" s="5">
        <f t="shared" si="20"/>
        <v>-2362.5046396136486</v>
      </c>
      <c r="E359" s="5">
        <f t="shared" si="21"/>
        <v>-136.09149159152065</v>
      </c>
      <c r="F359" s="23">
        <f t="shared" si="23"/>
        <v>29158.39671337347</v>
      </c>
    </row>
    <row r="360" spans="1:6" x14ac:dyDescent="0.25">
      <c r="A360">
        <v>349</v>
      </c>
      <c r="C360" s="5">
        <f t="shared" si="22"/>
        <v>-2498.5961312051695</v>
      </c>
      <c r="D360" s="5">
        <f t="shared" si="20"/>
        <v>-2372.7047533951809</v>
      </c>
      <c r="E360" s="5">
        <f t="shared" si="21"/>
        <v>-125.89137780998874</v>
      </c>
      <c r="F360" s="23">
        <f t="shared" si="23"/>
        <v>26785.691959978289</v>
      </c>
    </row>
    <row r="361" spans="1:6" x14ac:dyDescent="0.25">
      <c r="A361">
        <v>350</v>
      </c>
      <c r="C361" s="5">
        <f t="shared" si="22"/>
        <v>-2498.5961312051695</v>
      </c>
      <c r="D361" s="5">
        <f t="shared" si="20"/>
        <v>-2382.9489061679647</v>
      </c>
      <c r="E361" s="5">
        <f t="shared" si="21"/>
        <v>-115.64722503720505</v>
      </c>
      <c r="F361" s="23">
        <f t="shared" si="23"/>
        <v>24402.743053810325</v>
      </c>
    </row>
    <row r="362" spans="1:6" x14ac:dyDescent="0.25">
      <c r="A362">
        <v>351</v>
      </c>
      <c r="C362" s="5">
        <f t="shared" si="22"/>
        <v>-2498.5961312051695</v>
      </c>
      <c r="D362" s="5">
        <f t="shared" si="20"/>
        <v>-2393.2372880703442</v>
      </c>
      <c r="E362" s="5">
        <f t="shared" si="21"/>
        <v>-105.35884313482485</v>
      </c>
      <c r="F362" s="23">
        <f t="shared" si="23"/>
        <v>22009.505765739981</v>
      </c>
    </row>
    <row r="363" spans="1:6" x14ac:dyDescent="0.25">
      <c r="A363">
        <v>352</v>
      </c>
      <c r="C363" s="5">
        <f t="shared" si="22"/>
        <v>-2498.5961312051695</v>
      </c>
      <c r="D363" s="5">
        <f t="shared" si="20"/>
        <v>-2403.570090061588</v>
      </c>
      <c r="E363" s="5">
        <f t="shared" si="21"/>
        <v>-95.026041143581125</v>
      </c>
      <c r="F363" s="23">
        <f t="shared" si="23"/>
        <v>19605.935675678393</v>
      </c>
    </row>
    <row r="364" spans="1:6" x14ac:dyDescent="0.25">
      <c r="A364">
        <v>353</v>
      </c>
      <c r="C364" s="5">
        <f t="shared" si="22"/>
        <v>-2498.5961312051695</v>
      </c>
      <c r="D364" s="5">
        <f t="shared" si="20"/>
        <v>-2413.9475039254294</v>
      </c>
      <c r="E364" s="5">
        <f t="shared" si="21"/>
        <v>-84.648627279740225</v>
      </c>
      <c r="F364" s="23">
        <f t="shared" si="23"/>
        <v>17191.988171752964</v>
      </c>
    </row>
    <row r="365" spans="1:6" x14ac:dyDescent="0.25">
      <c r="A365">
        <v>354</v>
      </c>
      <c r="C365" s="5">
        <f t="shared" si="22"/>
        <v>-2498.5961312051695</v>
      </c>
      <c r="D365" s="5">
        <f t="shared" si="20"/>
        <v>-2424.3697222736273</v>
      </c>
      <c r="E365" s="5">
        <f t="shared" si="21"/>
        <v>-74.226408931542181</v>
      </c>
      <c r="F365" s="23">
        <f t="shared" si="23"/>
        <v>14767.618449479338</v>
      </c>
    </row>
    <row r="366" spans="1:6" x14ac:dyDescent="0.25">
      <c r="A366">
        <v>355</v>
      </c>
      <c r="C366" s="5">
        <f t="shared" si="22"/>
        <v>-2498.5961312051695</v>
      </c>
      <c r="D366" s="5">
        <f t="shared" si="20"/>
        <v>-2434.8369385495439</v>
      </c>
      <c r="E366" s="5">
        <f t="shared" si="21"/>
        <v>-63.759192655625796</v>
      </c>
      <c r="F366" s="23">
        <f t="shared" si="23"/>
        <v>12332.781510929794</v>
      </c>
    </row>
    <row r="367" spans="1:6" x14ac:dyDescent="0.25">
      <c r="A367">
        <v>356</v>
      </c>
      <c r="C367" s="5">
        <f t="shared" si="22"/>
        <v>-2498.5961312051695</v>
      </c>
      <c r="D367" s="5">
        <f t="shared" si="20"/>
        <v>-2445.3493470317308</v>
      </c>
      <c r="E367" s="5">
        <f t="shared" si="21"/>
        <v>-53.246784173438137</v>
      </c>
      <c r="F367" s="23">
        <f t="shared" si="23"/>
        <v>9887.4321638980618</v>
      </c>
    </row>
    <row r="368" spans="1:6" x14ac:dyDescent="0.25">
      <c r="A368">
        <v>357</v>
      </c>
      <c r="C368" s="5">
        <f t="shared" si="22"/>
        <v>-2498.5961312051695</v>
      </c>
      <c r="D368" s="5">
        <f t="shared" si="20"/>
        <v>-2455.9071428375405</v>
      </c>
      <c r="E368" s="5">
        <f t="shared" si="21"/>
        <v>-42.688988367628646</v>
      </c>
      <c r="F368" s="23">
        <f t="shared" si="23"/>
        <v>7431.5250210605209</v>
      </c>
    </row>
    <row r="369" spans="1:6" x14ac:dyDescent="0.25">
      <c r="A369">
        <v>358</v>
      </c>
      <c r="C369" s="5">
        <f t="shared" si="22"/>
        <v>-2498.5961312051695</v>
      </c>
      <c r="D369" s="5">
        <f t="shared" si="20"/>
        <v>-2466.5105219267416</v>
      </c>
      <c r="E369" s="5">
        <f t="shared" si="21"/>
        <v>-32.085609278427569</v>
      </c>
      <c r="F369" s="23">
        <f t="shared" si="23"/>
        <v>4965.0144991337793</v>
      </c>
    </row>
    <row r="370" spans="1:6" x14ac:dyDescent="0.25">
      <c r="A370">
        <v>359</v>
      </c>
      <c r="C370" s="5">
        <f t="shared" si="22"/>
        <v>-2498.5961312051695</v>
      </c>
      <c r="D370" s="5">
        <f t="shared" si="20"/>
        <v>-2477.1596811051609</v>
      </c>
      <c r="E370" s="5">
        <f t="shared" si="21"/>
        <v>-21.436450100008855</v>
      </c>
      <c r="F370" s="23">
        <f t="shared" si="23"/>
        <v>2487.8548180286184</v>
      </c>
    </row>
    <row r="371" spans="1:6" x14ac:dyDescent="0.25">
      <c r="A371">
        <v>360</v>
      </c>
      <c r="C371" s="5">
        <f t="shared" si="22"/>
        <v>-2498.5961312051695</v>
      </c>
      <c r="D371" s="5">
        <f t="shared" si="20"/>
        <v>-2487.8548180283319</v>
      </c>
      <c r="E371" s="5">
        <f t="shared" si="21"/>
        <v>-10.741313176837323</v>
      </c>
      <c r="F371" s="23">
        <f t="shared" si="23"/>
        <v>2.8649083105847239E-10</v>
      </c>
    </row>
    <row r="372" spans="1:6" x14ac:dyDescent="0.25">
      <c r="C372" s="5"/>
      <c r="D372" s="5"/>
      <c r="E372" s="5"/>
    </row>
    <row r="373" spans="1:6" x14ac:dyDescent="0.25">
      <c r="C373" s="5"/>
      <c r="D373" s="5"/>
      <c r="E373" s="5"/>
    </row>
    <row r="374" spans="1:6" x14ac:dyDescent="0.25">
      <c r="C374" s="5"/>
      <c r="D374" s="5"/>
      <c r="E374" s="5"/>
    </row>
    <row r="375" spans="1:6" x14ac:dyDescent="0.25">
      <c r="C375" s="5"/>
      <c r="D375" s="5"/>
      <c r="E375" s="5"/>
    </row>
    <row r="376" spans="1:6" x14ac:dyDescent="0.25">
      <c r="C376" s="5"/>
      <c r="D376" s="5"/>
      <c r="E376" s="5"/>
    </row>
    <row r="377" spans="1:6" x14ac:dyDescent="0.25">
      <c r="C377" s="5"/>
      <c r="D377" s="5"/>
      <c r="E377" s="5"/>
    </row>
    <row r="378" spans="1:6" x14ac:dyDescent="0.25">
      <c r="C378" s="5"/>
      <c r="D378" s="5"/>
      <c r="E378" s="5"/>
    </row>
    <row r="379" spans="1:6" x14ac:dyDescent="0.25">
      <c r="C379" s="5"/>
      <c r="D379" s="5"/>
      <c r="E379" s="5"/>
    </row>
    <row r="380" spans="1:6" x14ac:dyDescent="0.25">
      <c r="C380" s="5"/>
      <c r="D380" s="5"/>
      <c r="E380" s="5"/>
    </row>
    <row r="381" spans="1:6" x14ac:dyDescent="0.25">
      <c r="C381" s="5"/>
      <c r="D381" s="5"/>
      <c r="E381" s="5"/>
    </row>
    <row r="382" spans="1:6" x14ac:dyDescent="0.25">
      <c r="C382" s="5"/>
      <c r="D382" s="5"/>
      <c r="E382" s="5"/>
    </row>
    <row r="383" spans="1:6" x14ac:dyDescent="0.25">
      <c r="C383" s="5"/>
      <c r="D383" s="5"/>
      <c r="E383" s="5"/>
    </row>
    <row r="384" spans="1:6" x14ac:dyDescent="0.25">
      <c r="C384" s="5"/>
      <c r="D384" s="5"/>
      <c r="E384" s="5"/>
    </row>
    <row r="385" spans="3:5" x14ac:dyDescent="0.25">
      <c r="C385" s="5"/>
      <c r="D385" s="5"/>
      <c r="E385" s="5"/>
    </row>
    <row r="386" spans="3:5" x14ac:dyDescent="0.25">
      <c r="C386" s="5"/>
      <c r="D386" s="5"/>
      <c r="E386" s="5"/>
    </row>
    <row r="387" spans="3:5" x14ac:dyDescent="0.25">
      <c r="C387" s="5"/>
      <c r="D387" s="5"/>
      <c r="E387" s="5"/>
    </row>
    <row r="388" spans="3:5" x14ac:dyDescent="0.25">
      <c r="C388" s="5"/>
      <c r="D388" s="5"/>
      <c r="E388" s="5"/>
    </row>
    <row r="389" spans="3:5" x14ac:dyDescent="0.25">
      <c r="C389" s="5"/>
      <c r="D389" s="5"/>
      <c r="E389" s="5"/>
    </row>
    <row r="390" spans="3:5" x14ac:dyDescent="0.25">
      <c r="C390" s="5"/>
      <c r="D390" s="5"/>
      <c r="E390" s="5"/>
    </row>
    <row r="391" spans="3:5" x14ac:dyDescent="0.25">
      <c r="C391" s="5"/>
      <c r="D391" s="5"/>
      <c r="E391" s="5"/>
    </row>
    <row r="392" spans="3:5" x14ac:dyDescent="0.25">
      <c r="C392" s="5"/>
      <c r="D392" s="5"/>
      <c r="E392" s="5"/>
    </row>
    <row r="393" spans="3:5" x14ac:dyDescent="0.25">
      <c r="C393" s="5"/>
      <c r="D393" s="5"/>
      <c r="E393" s="5"/>
    </row>
    <row r="394" spans="3:5" x14ac:dyDescent="0.25">
      <c r="C394" s="5"/>
      <c r="D394" s="5"/>
      <c r="E394" s="5"/>
    </row>
    <row r="395" spans="3:5" x14ac:dyDescent="0.25">
      <c r="C395" s="5"/>
      <c r="D395" s="5"/>
      <c r="E395" s="5"/>
    </row>
    <row r="396" spans="3:5" x14ac:dyDescent="0.25">
      <c r="C396" s="5"/>
      <c r="D396" s="5"/>
      <c r="E396" s="5"/>
    </row>
    <row r="397" spans="3:5" x14ac:dyDescent="0.25">
      <c r="C397" s="5"/>
      <c r="D397" s="5"/>
      <c r="E397" s="5"/>
    </row>
    <row r="398" spans="3:5" x14ac:dyDescent="0.25">
      <c r="C398" s="5"/>
      <c r="D398" s="5"/>
      <c r="E398" s="5"/>
    </row>
    <row r="399" spans="3:5" x14ac:dyDescent="0.25">
      <c r="C399" s="5"/>
      <c r="D399" s="5"/>
      <c r="E399" s="5"/>
    </row>
    <row r="400" spans="3:5" x14ac:dyDescent="0.25">
      <c r="C400" s="5"/>
      <c r="D400" s="5"/>
      <c r="E400" s="5"/>
    </row>
    <row r="401" spans="3:5" x14ac:dyDescent="0.25">
      <c r="C401" s="5"/>
      <c r="D401" s="5"/>
      <c r="E401" s="5"/>
    </row>
    <row r="402" spans="3:5" x14ac:dyDescent="0.25">
      <c r="C402" s="5"/>
      <c r="D402" s="5"/>
      <c r="E402" s="5"/>
    </row>
    <row r="403" spans="3:5" x14ac:dyDescent="0.25">
      <c r="C403" s="5"/>
      <c r="D403" s="5"/>
      <c r="E403" s="5"/>
    </row>
    <row r="404" spans="3:5" x14ac:dyDescent="0.25">
      <c r="C404" s="5"/>
      <c r="D404" s="5"/>
      <c r="E404" s="5"/>
    </row>
    <row r="405" spans="3:5" x14ac:dyDescent="0.25">
      <c r="C405" s="5"/>
      <c r="D405" s="5"/>
      <c r="E405" s="5"/>
    </row>
    <row r="406" spans="3:5" x14ac:dyDescent="0.25">
      <c r="C406" s="5"/>
      <c r="D406" s="5"/>
      <c r="E406" s="5"/>
    </row>
    <row r="407" spans="3:5" x14ac:dyDescent="0.25">
      <c r="C407" s="5"/>
      <c r="D407" s="5"/>
      <c r="E407" s="5"/>
    </row>
    <row r="408" spans="3:5" x14ac:dyDescent="0.25">
      <c r="C408" s="5"/>
      <c r="D408" s="5"/>
      <c r="E408" s="5"/>
    </row>
    <row r="409" spans="3:5" x14ac:dyDescent="0.25">
      <c r="C409" s="5"/>
      <c r="D409" s="5"/>
      <c r="E409" s="5"/>
    </row>
    <row r="410" spans="3:5" x14ac:dyDescent="0.25">
      <c r="C410" s="5"/>
      <c r="D410" s="5"/>
      <c r="E410" s="5"/>
    </row>
    <row r="411" spans="3:5" x14ac:dyDescent="0.25">
      <c r="C411" s="5"/>
      <c r="D411" s="5"/>
      <c r="E411" s="5"/>
    </row>
    <row r="412" spans="3:5" x14ac:dyDescent="0.25">
      <c r="C412" s="5"/>
      <c r="D412" s="5"/>
      <c r="E412" s="5"/>
    </row>
    <row r="413" spans="3:5" x14ac:dyDescent="0.25">
      <c r="C413" s="5"/>
      <c r="D413" s="5"/>
      <c r="E413" s="5"/>
    </row>
    <row r="414" spans="3:5" x14ac:dyDescent="0.25">
      <c r="C414" s="5"/>
      <c r="D414" s="5"/>
      <c r="E414" s="5"/>
    </row>
    <row r="415" spans="3:5" x14ac:dyDescent="0.25">
      <c r="C415" s="5"/>
      <c r="D415" s="5"/>
      <c r="E415" s="5"/>
    </row>
    <row r="416" spans="3:5" x14ac:dyDescent="0.25">
      <c r="C416" s="5"/>
      <c r="D416" s="5"/>
      <c r="E416" s="5"/>
    </row>
    <row r="417" spans="3:5" x14ac:dyDescent="0.25">
      <c r="C417" s="5"/>
      <c r="D417" s="5"/>
      <c r="E417" s="5"/>
    </row>
    <row r="418" spans="3:5" x14ac:dyDescent="0.25">
      <c r="C418" s="5"/>
      <c r="D418" s="5"/>
      <c r="E418" s="5"/>
    </row>
    <row r="419" spans="3:5" x14ac:dyDescent="0.25">
      <c r="C419" s="5"/>
      <c r="D419" s="5"/>
      <c r="E419" s="5"/>
    </row>
    <row r="420" spans="3:5" x14ac:dyDescent="0.25">
      <c r="C420" s="5"/>
      <c r="D420" s="5"/>
      <c r="E420" s="5"/>
    </row>
    <row r="421" spans="3:5" x14ac:dyDescent="0.25">
      <c r="C421" s="5"/>
      <c r="D421" s="5"/>
      <c r="E421" s="5"/>
    </row>
    <row r="422" spans="3:5" x14ac:dyDescent="0.25">
      <c r="C422" s="5"/>
      <c r="D422" s="5"/>
      <c r="E422" s="5"/>
    </row>
    <row r="423" spans="3:5" x14ac:dyDescent="0.25">
      <c r="C423" s="5"/>
      <c r="D423" s="5"/>
      <c r="E423" s="5"/>
    </row>
    <row r="424" spans="3:5" x14ac:dyDescent="0.25">
      <c r="C424" s="5"/>
      <c r="D424" s="5"/>
      <c r="E424" s="5"/>
    </row>
    <row r="425" spans="3:5" x14ac:dyDescent="0.25">
      <c r="C425" s="5"/>
      <c r="D425" s="5"/>
      <c r="E425" s="5"/>
    </row>
    <row r="426" spans="3:5" x14ac:dyDescent="0.25">
      <c r="C426" s="5"/>
      <c r="D426" s="5"/>
      <c r="E426" s="5"/>
    </row>
    <row r="427" spans="3:5" x14ac:dyDescent="0.25">
      <c r="C427" s="5"/>
      <c r="D427" s="5"/>
      <c r="E427" s="5"/>
    </row>
    <row r="428" spans="3:5" x14ac:dyDescent="0.25">
      <c r="C428" s="5"/>
      <c r="D428" s="5"/>
      <c r="E428" s="5"/>
    </row>
    <row r="429" spans="3:5" x14ac:dyDescent="0.25">
      <c r="C429" s="5"/>
      <c r="D429" s="5"/>
      <c r="E429" s="5"/>
    </row>
    <row r="430" spans="3:5" x14ac:dyDescent="0.25">
      <c r="C430" s="5"/>
      <c r="D430" s="5"/>
      <c r="E430" s="5"/>
    </row>
    <row r="431" spans="3:5" x14ac:dyDescent="0.25">
      <c r="C431" s="5"/>
      <c r="D431" s="5"/>
      <c r="E431" s="5"/>
    </row>
    <row r="432" spans="3:5" x14ac:dyDescent="0.25">
      <c r="C432" s="5"/>
      <c r="D432" s="5"/>
      <c r="E432" s="5"/>
    </row>
    <row r="433" spans="3:5" x14ac:dyDescent="0.25">
      <c r="C433" s="5"/>
      <c r="D433" s="5"/>
      <c r="E433" s="5"/>
    </row>
    <row r="434" spans="3:5" x14ac:dyDescent="0.25">
      <c r="C434" s="5"/>
      <c r="D434" s="5"/>
      <c r="E434" s="5"/>
    </row>
    <row r="435" spans="3:5" x14ac:dyDescent="0.25">
      <c r="C435" s="5"/>
      <c r="D435" s="5"/>
      <c r="E435" s="5"/>
    </row>
    <row r="436" spans="3:5" x14ac:dyDescent="0.25">
      <c r="C436" s="5"/>
      <c r="D436" s="5"/>
      <c r="E436" s="5"/>
    </row>
    <row r="437" spans="3:5" x14ac:dyDescent="0.25">
      <c r="C437" s="5"/>
      <c r="D437" s="5"/>
      <c r="E437" s="5"/>
    </row>
    <row r="438" spans="3:5" x14ac:dyDescent="0.25">
      <c r="C438" s="5"/>
      <c r="D438" s="5"/>
      <c r="E438" s="5"/>
    </row>
    <row r="439" spans="3:5" x14ac:dyDescent="0.25">
      <c r="C439" s="5"/>
      <c r="D439" s="5"/>
      <c r="E439" s="5"/>
    </row>
    <row r="440" spans="3:5" x14ac:dyDescent="0.25">
      <c r="C440" s="5"/>
      <c r="D440" s="5"/>
      <c r="E440" s="5"/>
    </row>
    <row r="441" spans="3:5" x14ac:dyDescent="0.25">
      <c r="C441" s="5"/>
      <c r="D441" s="5"/>
      <c r="E441" s="5"/>
    </row>
    <row r="442" spans="3:5" x14ac:dyDescent="0.25">
      <c r="C442" s="5"/>
      <c r="D442" s="5"/>
      <c r="E442" s="5"/>
    </row>
    <row r="443" spans="3:5" x14ac:dyDescent="0.25">
      <c r="C443" s="5"/>
      <c r="D443" s="5"/>
      <c r="E443" s="5"/>
    </row>
    <row r="444" spans="3:5" x14ac:dyDescent="0.25">
      <c r="C444" s="5"/>
      <c r="D444" s="5"/>
      <c r="E444" s="5"/>
    </row>
    <row r="445" spans="3:5" x14ac:dyDescent="0.25">
      <c r="C445" s="5"/>
      <c r="D445" s="5"/>
      <c r="E445" s="5"/>
    </row>
    <row r="446" spans="3:5" x14ac:dyDescent="0.25">
      <c r="C446" s="5"/>
      <c r="D446" s="5"/>
      <c r="E446" s="5"/>
    </row>
    <row r="447" spans="3:5" x14ac:dyDescent="0.25">
      <c r="C447" s="5"/>
      <c r="D447" s="5"/>
      <c r="E447" s="5"/>
    </row>
    <row r="448" spans="3:5" x14ac:dyDescent="0.25">
      <c r="C448" s="5"/>
      <c r="D448" s="5"/>
      <c r="E448" s="5"/>
    </row>
    <row r="449" spans="3:5" x14ac:dyDescent="0.25">
      <c r="C449" s="5"/>
      <c r="D449" s="5"/>
      <c r="E449" s="5"/>
    </row>
    <row r="450" spans="3:5" x14ac:dyDescent="0.25">
      <c r="C450" s="5"/>
      <c r="D450" s="5"/>
      <c r="E450" s="5"/>
    </row>
    <row r="451" spans="3:5" x14ac:dyDescent="0.25">
      <c r="C451" s="5"/>
      <c r="D451" s="5"/>
      <c r="E451" s="5"/>
    </row>
    <row r="452" spans="3:5" x14ac:dyDescent="0.25">
      <c r="C452" s="5"/>
      <c r="D452" s="5"/>
      <c r="E452" s="5"/>
    </row>
    <row r="453" spans="3:5" x14ac:dyDescent="0.25">
      <c r="C453" s="5"/>
      <c r="D453" s="5"/>
      <c r="E453" s="5"/>
    </row>
    <row r="454" spans="3:5" x14ac:dyDescent="0.25">
      <c r="C454" s="5"/>
      <c r="D454" s="5"/>
      <c r="E454" s="5"/>
    </row>
    <row r="455" spans="3:5" x14ac:dyDescent="0.25">
      <c r="C455" s="5"/>
      <c r="D455" s="5"/>
      <c r="E455" s="5"/>
    </row>
    <row r="456" spans="3:5" x14ac:dyDescent="0.25">
      <c r="C456" s="5"/>
      <c r="D456" s="5"/>
      <c r="E456" s="5"/>
    </row>
    <row r="457" spans="3:5" x14ac:dyDescent="0.25">
      <c r="C457" s="5"/>
      <c r="D457" s="5"/>
      <c r="E457" s="5"/>
    </row>
    <row r="458" spans="3:5" x14ac:dyDescent="0.25">
      <c r="C458" s="5"/>
      <c r="D458" s="5"/>
      <c r="E458" s="5"/>
    </row>
    <row r="459" spans="3:5" x14ac:dyDescent="0.25">
      <c r="C459" s="5"/>
      <c r="D459" s="5"/>
      <c r="E459" s="5"/>
    </row>
    <row r="460" spans="3:5" x14ac:dyDescent="0.25">
      <c r="C460" s="5"/>
      <c r="D460" s="5"/>
      <c r="E460" s="5"/>
    </row>
    <row r="461" spans="3:5" x14ac:dyDescent="0.25">
      <c r="C461" s="5"/>
      <c r="D461" s="5"/>
      <c r="E461" s="5"/>
    </row>
    <row r="462" spans="3:5" x14ac:dyDescent="0.25">
      <c r="C462" s="5"/>
      <c r="D462" s="5"/>
      <c r="E462" s="5"/>
    </row>
    <row r="463" spans="3:5" x14ac:dyDescent="0.25">
      <c r="C463" s="5"/>
      <c r="D463" s="5"/>
      <c r="E463" s="5"/>
    </row>
    <row r="464" spans="3:5" x14ac:dyDescent="0.25">
      <c r="C464" s="5"/>
      <c r="D464" s="5"/>
      <c r="E464" s="5"/>
    </row>
    <row r="465" spans="3:5" x14ac:dyDescent="0.25">
      <c r="C465" s="5"/>
      <c r="D465" s="5"/>
      <c r="E465" s="5"/>
    </row>
    <row r="466" spans="3:5" x14ac:dyDescent="0.25">
      <c r="C466" s="5"/>
      <c r="D466" s="5"/>
      <c r="E466" s="5"/>
    </row>
    <row r="467" spans="3:5" x14ac:dyDescent="0.25">
      <c r="C467" s="5"/>
      <c r="D467" s="5"/>
      <c r="E467" s="5"/>
    </row>
    <row r="468" spans="3:5" x14ac:dyDescent="0.25">
      <c r="C468" s="5"/>
      <c r="D468" s="5"/>
      <c r="E468" s="5"/>
    </row>
    <row r="469" spans="3:5" x14ac:dyDescent="0.25">
      <c r="C469" s="5"/>
      <c r="D469" s="5"/>
      <c r="E469" s="5"/>
    </row>
    <row r="470" spans="3:5" x14ac:dyDescent="0.25">
      <c r="C470" s="5"/>
      <c r="D470" s="5"/>
      <c r="E470" s="5"/>
    </row>
    <row r="471" spans="3:5" x14ac:dyDescent="0.25">
      <c r="C471" s="5"/>
      <c r="D471" s="5"/>
      <c r="E471" s="5"/>
    </row>
    <row r="472" spans="3:5" x14ac:dyDescent="0.25">
      <c r="C472" s="5"/>
      <c r="D472" s="5"/>
      <c r="E472" s="5"/>
    </row>
    <row r="473" spans="3:5" x14ac:dyDescent="0.25">
      <c r="C473" s="5"/>
      <c r="D473" s="5"/>
      <c r="E473" s="5"/>
    </row>
    <row r="474" spans="3:5" x14ac:dyDescent="0.25">
      <c r="C474" s="5"/>
      <c r="D474" s="5"/>
      <c r="E474" s="5"/>
    </row>
    <row r="475" spans="3:5" x14ac:dyDescent="0.25">
      <c r="C475" s="5"/>
      <c r="D475" s="5"/>
      <c r="E475" s="5"/>
    </row>
    <row r="476" spans="3:5" x14ac:dyDescent="0.25">
      <c r="C476" s="5"/>
      <c r="D476" s="5"/>
      <c r="E476" s="5"/>
    </row>
    <row r="477" spans="3:5" x14ac:dyDescent="0.25">
      <c r="C477" s="5"/>
      <c r="D477" s="5"/>
      <c r="E477" s="5"/>
    </row>
    <row r="478" spans="3:5" x14ac:dyDescent="0.25">
      <c r="C478" s="5"/>
      <c r="D478" s="5"/>
      <c r="E478" s="5"/>
    </row>
    <row r="479" spans="3:5" x14ac:dyDescent="0.25">
      <c r="C479" s="5"/>
      <c r="D479" s="5"/>
      <c r="E479" s="5"/>
    </row>
    <row r="480" spans="3:5" x14ac:dyDescent="0.25">
      <c r="C480" s="5"/>
      <c r="D480" s="5"/>
      <c r="E480" s="5"/>
    </row>
    <row r="481" spans="3:5" x14ac:dyDescent="0.25">
      <c r="C481" s="5"/>
      <c r="D481" s="5"/>
      <c r="E481" s="5"/>
    </row>
    <row r="482" spans="3:5" x14ac:dyDescent="0.25">
      <c r="C482" s="5"/>
      <c r="D482" s="5"/>
      <c r="E482" s="5"/>
    </row>
    <row r="483" spans="3:5" x14ac:dyDescent="0.25">
      <c r="C483" s="5"/>
      <c r="D483" s="5"/>
      <c r="E483" s="5"/>
    </row>
    <row r="484" spans="3:5" x14ac:dyDescent="0.25">
      <c r="C484" s="5"/>
      <c r="D484" s="5"/>
      <c r="E484" s="5"/>
    </row>
    <row r="485" spans="3:5" x14ac:dyDescent="0.25">
      <c r="C485" s="5"/>
      <c r="D485" s="5"/>
      <c r="E485" s="5"/>
    </row>
    <row r="486" spans="3:5" x14ac:dyDescent="0.25">
      <c r="C486" s="5"/>
      <c r="D486" s="5"/>
      <c r="E486" s="5"/>
    </row>
    <row r="487" spans="3:5" x14ac:dyDescent="0.25">
      <c r="C487" s="5"/>
      <c r="D487" s="5"/>
      <c r="E487" s="5"/>
    </row>
    <row r="488" spans="3:5" x14ac:dyDescent="0.25">
      <c r="C488" s="5"/>
      <c r="D488" s="5"/>
      <c r="E488" s="5"/>
    </row>
    <row r="489" spans="3:5" x14ac:dyDescent="0.25">
      <c r="C489" s="5"/>
      <c r="D489" s="5"/>
      <c r="E489" s="5"/>
    </row>
    <row r="490" spans="3:5" x14ac:dyDescent="0.25">
      <c r="C490" s="5"/>
      <c r="D490" s="5"/>
      <c r="E490" s="5"/>
    </row>
    <row r="491" spans="3:5" x14ac:dyDescent="0.25">
      <c r="C491" s="5"/>
      <c r="D491" s="5"/>
      <c r="E491" s="5"/>
    </row>
    <row r="492" spans="3:5" x14ac:dyDescent="0.25">
      <c r="C492" s="5"/>
      <c r="D492" s="5"/>
      <c r="E492" s="5"/>
    </row>
    <row r="493" spans="3:5" x14ac:dyDescent="0.25">
      <c r="C493" s="5"/>
      <c r="D493" s="5"/>
      <c r="E493" s="5"/>
    </row>
    <row r="494" spans="3:5" x14ac:dyDescent="0.25">
      <c r="C494" s="5"/>
      <c r="D494" s="5"/>
      <c r="E494" s="5"/>
    </row>
    <row r="495" spans="3:5" x14ac:dyDescent="0.25">
      <c r="C495" s="5"/>
      <c r="D495" s="5"/>
      <c r="E495" s="5"/>
    </row>
    <row r="496" spans="3:5" x14ac:dyDescent="0.25">
      <c r="C496" s="5"/>
      <c r="D496" s="5"/>
      <c r="E496" s="5"/>
    </row>
    <row r="497" spans="3:5" x14ac:dyDescent="0.25">
      <c r="C497" s="5"/>
      <c r="D497" s="5"/>
      <c r="E497" s="5"/>
    </row>
    <row r="498" spans="3:5" x14ac:dyDescent="0.25">
      <c r="C498" s="5"/>
      <c r="D498" s="5"/>
      <c r="E498" s="5"/>
    </row>
    <row r="499" spans="3:5" x14ac:dyDescent="0.25">
      <c r="C499" s="5"/>
      <c r="D499" s="5"/>
      <c r="E499" s="5"/>
    </row>
    <row r="500" spans="3:5" x14ac:dyDescent="0.25">
      <c r="C500" s="5"/>
      <c r="D500" s="5"/>
      <c r="E500" s="5"/>
    </row>
    <row r="501" spans="3:5" x14ac:dyDescent="0.25">
      <c r="C501" s="5"/>
      <c r="D501" s="5"/>
      <c r="E501" s="5"/>
    </row>
    <row r="502" spans="3:5" x14ac:dyDescent="0.25">
      <c r="C502" s="5"/>
      <c r="D502" s="5"/>
      <c r="E502" s="5"/>
    </row>
    <row r="503" spans="3:5" x14ac:dyDescent="0.25">
      <c r="C503" s="5"/>
      <c r="D503" s="5"/>
      <c r="E503" s="5"/>
    </row>
    <row r="504" spans="3:5" x14ac:dyDescent="0.25">
      <c r="C504" s="5"/>
      <c r="D504" s="5"/>
      <c r="E504" s="5"/>
    </row>
    <row r="505" spans="3:5" x14ac:dyDescent="0.25">
      <c r="C505" s="5"/>
      <c r="D505" s="5"/>
      <c r="E505" s="5"/>
    </row>
    <row r="506" spans="3:5" x14ac:dyDescent="0.25">
      <c r="C506" s="5"/>
      <c r="D506" s="5"/>
      <c r="E506" s="5"/>
    </row>
    <row r="507" spans="3:5" x14ac:dyDescent="0.25">
      <c r="C507" s="5"/>
      <c r="D507" s="5"/>
      <c r="E507" s="5"/>
    </row>
    <row r="508" spans="3:5" x14ac:dyDescent="0.25">
      <c r="C508" s="5"/>
      <c r="D508" s="5"/>
      <c r="E508" s="5"/>
    </row>
    <row r="509" spans="3:5" x14ac:dyDescent="0.25">
      <c r="C509" s="5"/>
      <c r="D509" s="5"/>
      <c r="E509" s="5"/>
    </row>
    <row r="510" spans="3:5" x14ac:dyDescent="0.25">
      <c r="C510" s="5"/>
      <c r="D510" s="5"/>
      <c r="E510" s="5"/>
    </row>
    <row r="511" spans="3:5" x14ac:dyDescent="0.25">
      <c r="C511" s="5"/>
      <c r="D511" s="5"/>
      <c r="E511" s="5"/>
    </row>
    <row r="512" spans="3:5" x14ac:dyDescent="0.25">
      <c r="C512" s="5"/>
      <c r="D512" s="5"/>
      <c r="E512" s="5"/>
    </row>
    <row r="513" spans="3:5" x14ac:dyDescent="0.25">
      <c r="C513" s="5"/>
      <c r="D513" s="5"/>
      <c r="E513" s="5"/>
    </row>
    <row r="514" spans="3:5" x14ac:dyDescent="0.25">
      <c r="C514" s="5"/>
      <c r="D514" s="5"/>
      <c r="E514" s="5"/>
    </row>
    <row r="515" spans="3:5" x14ac:dyDescent="0.25">
      <c r="C515" s="5"/>
      <c r="D515" s="5"/>
      <c r="E515" s="5"/>
    </row>
    <row r="516" spans="3:5" x14ac:dyDescent="0.25">
      <c r="C516" s="5"/>
      <c r="D516" s="5"/>
      <c r="E516" s="5"/>
    </row>
    <row r="517" spans="3:5" x14ac:dyDescent="0.25">
      <c r="C517" s="5"/>
      <c r="D517" s="5"/>
      <c r="E517" s="5"/>
    </row>
    <row r="518" spans="3:5" x14ac:dyDescent="0.25">
      <c r="C518" s="5"/>
      <c r="D518" s="5"/>
      <c r="E518" s="5"/>
    </row>
    <row r="519" spans="3:5" x14ac:dyDescent="0.25">
      <c r="C519" s="5"/>
      <c r="D519" s="5"/>
      <c r="E519" s="5"/>
    </row>
  </sheetData>
  <mergeCells count="1">
    <mergeCell ref="B10:G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519"/>
  <sheetViews>
    <sheetView workbookViewId="0">
      <selection activeCell="C2" sqref="C2"/>
    </sheetView>
  </sheetViews>
  <sheetFormatPr defaultRowHeight="15" x14ac:dyDescent="0.25"/>
  <cols>
    <col min="2" max="2" width="24.5703125" bestFit="1" customWidth="1"/>
    <col min="3" max="3" width="11.5703125" bestFit="1" customWidth="1"/>
    <col min="4" max="5" width="10.5703125" bestFit="1" customWidth="1"/>
    <col min="6" max="6" width="11.5703125" bestFit="1" customWidth="1"/>
    <col min="7" max="7" width="9.140625" style="9"/>
    <col min="8" max="8" width="9.140625" style="8"/>
  </cols>
  <sheetData>
    <row r="1" spans="1:8" ht="15.75" thickBot="1" x14ac:dyDescent="0.3">
      <c r="B1" t="s">
        <v>6</v>
      </c>
    </row>
    <row r="2" spans="1:8" ht="30.75" thickBot="1" x14ac:dyDescent="0.3">
      <c r="B2" s="20" t="s">
        <v>19</v>
      </c>
      <c r="C2" s="50">
        <f>Model!E7</f>
        <v>5.1810000000000002E-2</v>
      </c>
    </row>
    <row r="3" spans="1:8" ht="15.75" thickBot="1" x14ac:dyDescent="0.3">
      <c r="B3" t="s">
        <v>7</v>
      </c>
      <c r="C3" s="35">
        <f>Model!E8</f>
        <v>30</v>
      </c>
    </row>
    <row r="4" spans="1:8" ht="15.75" thickBot="1" x14ac:dyDescent="0.3">
      <c r="B4" t="s">
        <v>8</v>
      </c>
      <c r="C4" s="36">
        <f>Model!E9</f>
        <v>12</v>
      </c>
      <c r="E4" s="23"/>
    </row>
    <row r="5" spans="1:8" ht="15.75" thickBot="1" x14ac:dyDescent="0.3">
      <c r="B5" t="s">
        <v>32</v>
      </c>
      <c r="C5" s="24">
        <f>Model!E10</f>
        <v>32500</v>
      </c>
      <c r="F5" s="16"/>
    </row>
    <row r="6" spans="1:8" ht="30.75" thickBot="1" x14ac:dyDescent="0.3">
      <c r="B6" s="40" t="s">
        <v>34</v>
      </c>
      <c r="C6" s="24">
        <f>Model!C12</f>
        <v>32500</v>
      </c>
    </row>
    <row r="7" spans="1:8" s="25" customFormat="1" ht="30.75" thickBot="1" x14ac:dyDescent="0.3">
      <c r="B7" s="17" t="s">
        <v>33</v>
      </c>
      <c r="C7" s="26">
        <f>Model!C10</f>
        <v>65000</v>
      </c>
      <c r="G7" s="27"/>
      <c r="H7" s="28"/>
    </row>
    <row r="8" spans="1:8" ht="15.75" thickBot="1" x14ac:dyDescent="0.3">
      <c r="B8" t="s">
        <v>10</v>
      </c>
      <c r="C8" s="29">
        <f>(C5+C6)/C6</f>
        <v>2</v>
      </c>
      <c r="D8" t="s">
        <v>11</v>
      </c>
      <c r="E8" s="15">
        <v>1</v>
      </c>
    </row>
    <row r="9" spans="1:8" ht="15.75" thickBot="1" x14ac:dyDescent="0.3"/>
    <row r="10" spans="1:8" s="13" customFormat="1" ht="15.75" thickBot="1" x14ac:dyDescent="0.3">
      <c r="B10" s="53"/>
      <c r="C10" s="53"/>
      <c r="D10" s="53"/>
      <c r="E10" s="53"/>
      <c r="F10" s="53"/>
      <c r="G10" s="54"/>
      <c r="H10" s="14"/>
    </row>
    <row r="11" spans="1:8" ht="30" x14ac:dyDescent="0.25">
      <c r="A11" s="17" t="s">
        <v>12</v>
      </c>
      <c r="B11" s="17" t="s">
        <v>13</v>
      </c>
      <c r="C11" s="17" t="s">
        <v>14</v>
      </c>
      <c r="D11" s="17" t="s">
        <v>15</v>
      </c>
      <c r="E11" s="17" t="s">
        <v>16</v>
      </c>
      <c r="F11" s="17" t="s">
        <v>17</v>
      </c>
    </row>
    <row r="12" spans="1:8" x14ac:dyDescent="0.25">
      <c r="A12">
        <v>1</v>
      </c>
      <c r="C12" s="5">
        <f t="shared" ref="C12:C75" si="0">IF(A12&lt;=$C$4*$C$3,PMT($C$2/$C$4,$C$3*$C$4,$C$5),0)</f>
        <v>-178.07976812317546</v>
      </c>
      <c r="D12" s="5">
        <f t="shared" ref="D12:D75" si="1">IFERROR(PPMT($C$2/$C$4,A12,$C$3*$C$4,$C$5),0)</f>
        <v>-37.76101812317544</v>
      </c>
      <c r="E12" s="5">
        <f t="shared" ref="E12:E75" si="2">IFERROR(IPMT($C$2/$C$4,A12,$C$3*$C$4,$C$5),0)</f>
        <v>-140.31875000000002</v>
      </c>
      <c r="F12" s="23">
        <f>IFERROR(C5+D12,0)</f>
        <v>32462.238981876824</v>
      </c>
    </row>
    <row r="13" spans="1:8" x14ac:dyDescent="0.25">
      <c r="A13">
        <v>2</v>
      </c>
      <c r="C13" s="5">
        <f t="shared" si="0"/>
        <v>-178.07976812317546</v>
      </c>
      <c r="D13" s="5">
        <f t="shared" si="1"/>
        <v>-37.924051318922253</v>
      </c>
      <c r="E13" s="5">
        <f t="shared" si="2"/>
        <v>-140.15571680425319</v>
      </c>
      <c r="F13" s="23">
        <f t="shared" ref="F13:F76" si="3">IFERROR(F12+D13,0)</f>
        <v>32424.314930557903</v>
      </c>
    </row>
    <row r="14" spans="1:8" x14ac:dyDescent="0.25">
      <c r="A14">
        <v>3</v>
      </c>
      <c r="C14" s="5">
        <f t="shared" si="0"/>
        <v>-178.07976812317546</v>
      </c>
      <c r="D14" s="5">
        <f t="shared" si="1"/>
        <v>-38.087788410491697</v>
      </c>
      <c r="E14" s="5">
        <f t="shared" si="2"/>
        <v>-139.99197971268373</v>
      </c>
      <c r="F14" s="23">
        <f t="shared" si="3"/>
        <v>32386.227142147411</v>
      </c>
    </row>
    <row r="15" spans="1:8" x14ac:dyDescent="0.25">
      <c r="A15">
        <v>4</v>
      </c>
      <c r="C15" s="5">
        <f t="shared" si="0"/>
        <v>-178.07976812317546</v>
      </c>
      <c r="D15" s="5">
        <f t="shared" si="1"/>
        <v>-38.252232436953996</v>
      </c>
      <c r="E15" s="5">
        <f t="shared" si="2"/>
        <v>-139.82753568622144</v>
      </c>
      <c r="F15" s="23">
        <f t="shared" si="3"/>
        <v>32347.974909710458</v>
      </c>
    </row>
    <row r="16" spans="1:8" x14ac:dyDescent="0.25">
      <c r="A16">
        <v>5</v>
      </c>
      <c r="C16" s="5">
        <f t="shared" si="0"/>
        <v>-178.07976812317546</v>
      </c>
      <c r="D16" s="5">
        <f t="shared" si="1"/>
        <v>-38.417386450500544</v>
      </c>
      <c r="E16" s="5">
        <f t="shared" si="2"/>
        <v>-139.66238167267491</v>
      </c>
      <c r="F16" s="23">
        <f t="shared" si="3"/>
        <v>32309.557523259959</v>
      </c>
    </row>
    <row r="17" spans="1:6" x14ac:dyDescent="0.25">
      <c r="A17">
        <v>6</v>
      </c>
      <c r="C17" s="5">
        <f t="shared" si="0"/>
        <v>-178.07976812317546</v>
      </c>
      <c r="D17" s="5">
        <f t="shared" si="1"/>
        <v>-38.583253516500577</v>
      </c>
      <c r="E17" s="5">
        <f t="shared" si="2"/>
        <v>-139.49651460667488</v>
      </c>
      <c r="F17" s="23">
        <f t="shared" si="3"/>
        <v>32270.974269743459</v>
      </c>
    </row>
    <row r="18" spans="1:6" x14ac:dyDescent="0.25">
      <c r="A18">
        <v>7</v>
      </c>
      <c r="C18" s="5">
        <f t="shared" si="0"/>
        <v>-178.07976812317546</v>
      </c>
      <c r="D18" s="5">
        <f t="shared" si="1"/>
        <v>-38.749836713558075</v>
      </c>
      <c r="E18" s="5">
        <f t="shared" si="2"/>
        <v>-139.32993140961739</v>
      </c>
      <c r="F18" s="23">
        <f t="shared" si="3"/>
        <v>32232.2244330299</v>
      </c>
    </row>
    <row r="19" spans="1:6" x14ac:dyDescent="0.25">
      <c r="A19">
        <v>8</v>
      </c>
      <c r="C19" s="5">
        <f t="shared" si="0"/>
        <v>-178.07976812317546</v>
      </c>
      <c r="D19" s="5">
        <f t="shared" si="1"/>
        <v>-38.917139133568853</v>
      </c>
      <c r="E19" s="5">
        <f t="shared" si="2"/>
        <v>-139.16262898960659</v>
      </c>
      <c r="F19" s="23">
        <f t="shared" si="3"/>
        <v>32193.307293896331</v>
      </c>
    </row>
    <row r="20" spans="1:6" x14ac:dyDescent="0.25">
      <c r="A20">
        <v>9</v>
      </c>
      <c r="C20" s="5">
        <f t="shared" si="0"/>
        <v>-178.07976812317546</v>
      </c>
      <c r="D20" s="5">
        <f t="shared" si="1"/>
        <v>-39.085163881778037</v>
      </c>
      <c r="E20" s="5">
        <f t="shared" si="2"/>
        <v>-138.99460424139741</v>
      </c>
      <c r="F20" s="23">
        <f t="shared" si="3"/>
        <v>32154.222130014554</v>
      </c>
    </row>
    <row r="21" spans="1:6" x14ac:dyDescent="0.25">
      <c r="A21">
        <v>10</v>
      </c>
      <c r="C21" s="5">
        <f t="shared" si="0"/>
        <v>-178.07976812317546</v>
      </c>
      <c r="D21" s="5">
        <f t="shared" si="1"/>
        <v>-39.253914076837617</v>
      </c>
      <c r="E21" s="5">
        <f t="shared" si="2"/>
        <v>-138.82585404633784</v>
      </c>
      <c r="F21" s="23">
        <f t="shared" si="3"/>
        <v>32114.968215937715</v>
      </c>
    </row>
    <row r="22" spans="1:6" x14ac:dyDescent="0.25">
      <c r="A22">
        <v>11</v>
      </c>
      <c r="C22" s="5">
        <f t="shared" si="0"/>
        <v>-178.07976812317546</v>
      </c>
      <c r="D22" s="5">
        <f t="shared" si="1"/>
        <v>-39.423392850864367</v>
      </c>
      <c r="E22" s="5">
        <f t="shared" si="2"/>
        <v>-138.65637527231107</v>
      </c>
      <c r="F22" s="23">
        <f t="shared" si="3"/>
        <v>32075.54482308685</v>
      </c>
    </row>
    <row r="23" spans="1:6" x14ac:dyDescent="0.25">
      <c r="A23">
        <v>12</v>
      </c>
      <c r="C23" s="5">
        <f t="shared" si="0"/>
        <v>-178.07976812317546</v>
      </c>
      <c r="D23" s="5">
        <f t="shared" si="1"/>
        <v>-39.593603349497961</v>
      </c>
      <c r="E23" s="5">
        <f t="shared" si="2"/>
        <v>-138.4861647736775</v>
      </c>
      <c r="F23" s="23">
        <f>IFERROR(F22+D23,0)</f>
        <v>32035.951219737351</v>
      </c>
    </row>
    <row r="24" spans="1:6" x14ac:dyDescent="0.25">
      <c r="A24">
        <v>13</v>
      </c>
      <c r="C24" s="5">
        <f t="shared" si="0"/>
        <v>-178.07976812317546</v>
      </c>
      <c r="D24" s="5">
        <f t="shared" si="1"/>
        <v>-39.764548731959422</v>
      </c>
      <c r="E24" s="5">
        <f t="shared" si="2"/>
        <v>-138.31521939121603</v>
      </c>
      <c r="F24" s="23">
        <f t="shared" si="3"/>
        <v>31996.186671005391</v>
      </c>
    </row>
    <row r="25" spans="1:6" x14ac:dyDescent="0.25">
      <c r="A25">
        <v>14</v>
      </c>
      <c r="C25" s="5">
        <f t="shared" si="0"/>
        <v>-178.07976812317546</v>
      </c>
      <c r="D25" s="5">
        <f t="shared" si="1"/>
        <v>-39.936232171109651</v>
      </c>
      <c r="E25" s="5">
        <f t="shared" si="2"/>
        <v>-138.1435359520658</v>
      </c>
      <c r="F25" s="23">
        <f t="shared" si="3"/>
        <v>31956.250438834282</v>
      </c>
    </row>
    <row r="26" spans="1:6" x14ac:dyDescent="0.25">
      <c r="A26">
        <v>15</v>
      </c>
      <c r="C26" s="5">
        <f t="shared" si="0"/>
        <v>-178.07976812317546</v>
      </c>
      <c r="D26" s="5">
        <f t="shared" si="1"/>
        <v>-40.108656853508421</v>
      </c>
      <c r="E26" s="5">
        <f t="shared" si="2"/>
        <v>-137.97111126966701</v>
      </c>
      <c r="F26" s="23">
        <f t="shared" si="3"/>
        <v>31916.141781980772</v>
      </c>
    </row>
    <row r="27" spans="1:6" x14ac:dyDescent="0.25">
      <c r="A27">
        <v>16</v>
      </c>
      <c r="C27" s="5">
        <f t="shared" si="0"/>
        <v>-178.07976812317546</v>
      </c>
      <c r="D27" s="5">
        <f t="shared" si="1"/>
        <v>-40.281825979473446</v>
      </c>
      <c r="E27" s="5">
        <f t="shared" si="2"/>
        <v>-137.79794214370199</v>
      </c>
      <c r="F27" s="23">
        <f t="shared" si="3"/>
        <v>31875.859956001299</v>
      </c>
    </row>
    <row r="28" spans="1:6" x14ac:dyDescent="0.25">
      <c r="A28">
        <v>17</v>
      </c>
      <c r="C28" s="5">
        <f t="shared" si="0"/>
        <v>-178.07976812317546</v>
      </c>
      <c r="D28" s="5">
        <f t="shared" si="1"/>
        <v>-40.455742763139817</v>
      </c>
      <c r="E28" s="5">
        <f t="shared" si="2"/>
        <v>-137.62402536003563</v>
      </c>
      <c r="F28" s="23">
        <f t="shared" si="3"/>
        <v>31835.404213238158</v>
      </c>
    </row>
    <row r="29" spans="1:6" x14ac:dyDescent="0.25">
      <c r="A29">
        <v>18</v>
      </c>
      <c r="C29" s="5">
        <f t="shared" si="0"/>
        <v>-178.07976812317546</v>
      </c>
      <c r="D29" s="5">
        <f t="shared" si="1"/>
        <v>-40.630410432519689</v>
      </c>
      <c r="E29" s="5">
        <f t="shared" si="2"/>
        <v>-137.44935769065575</v>
      </c>
      <c r="F29" s="23">
        <f t="shared" si="3"/>
        <v>31794.773802805637</v>
      </c>
    </row>
    <row r="30" spans="1:6" x14ac:dyDescent="0.25">
      <c r="A30">
        <v>19</v>
      </c>
      <c r="C30" s="5">
        <f t="shared" si="0"/>
        <v>-178.07976812317546</v>
      </c>
      <c r="D30" s="5">
        <f t="shared" si="1"/>
        <v>-40.805832229562085</v>
      </c>
      <c r="E30" s="5">
        <f t="shared" si="2"/>
        <v>-137.27393589361336</v>
      </c>
      <c r="F30" s="23">
        <f t="shared" si="3"/>
        <v>31753.967970576075</v>
      </c>
    </row>
    <row r="31" spans="1:6" x14ac:dyDescent="0.25">
      <c r="A31">
        <v>20</v>
      </c>
      <c r="C31" s="5">
        <f t="shared" si="0"/>
        <v>-178.07976812317546</v>
      </c>
      <c r="D31" s="5">
        <f t="shared" si="1"/>
        <v>-40.982011410213218</v>
      </c>
      <c r="E31" s="5">
        <f t="shared" si="2"/>
        <v>-137.09775671296222</v>
      </c>
      <c r="F31" s="23">
        <f t="shared" si="3"/>
        <v>31712.985959165861</v>
      </c>
    </row>
    <row r="32" spans="1:6" x14ac:dyDescent="0.25">
      <c r="A32">
        <v>21</v>
      </c>
      <c r="C32" s="5">
        <f t="shared" si="0"/>
        <v>-178.07976812317546</v>
      </c>
      <c r="D32" s="5">
        <f t="shared" si="1"/>
        <v>-41.158951244476818</v>
      </c>
      <c r="E32" s="5">
        <f t="shared" si="2"/>
        <v>-136.92081687869864</v>
      </c>
      <c r="F32" s="23">
        <f t="shared" si="3"/>
        <v>31671.827007921383</v>
      </c>
    </row>
    <row r="33" spans="1:6" x14ac:dyDescent="0.25">
      <c r="A33">
        <v>22</v>
      </c>
      <c r="C33" s="5">
        <f t="shared" si="0"/>
        <v>-178.07976812317546</v>
      </c>
      <c r="D33" s="5">
        <f t="shared" si="1"/>
        <v>-41.336655016474843</v>
      </c>
      <c r="E33" s="5">
        <f t="shared" si="2"/>
        <v>-136.7431131067006</v>
      </c>
      <c r="F33" s="23">
        <f t="shared" si="3"/>
        <v>31630.490352904908</v>
      </c>
    </row>
    <row r="34" spans="1:6" x14ac:dyDescent="0.25">
      <c r="A34">
        <v>23</v>
      </c>
      <c r="C34" s="5">
        <f t="shared" si="0"/>
        <v>-178.07976812317546</v>
      </c>
      <c r="D34" s="5">
        <f t="shared" si="1"/>
        <v>-41.515126024508469</v>
      </c>
      <c r="E34" s="5">
        <f t="shared" si="2"/>
        <v>-136.56464209866698</v>
      </c>
      <c r="F34" s="23">
        <f t="shared" si="3"/>
        <v>31588.9752268804</v>
      </c>
    </row>
    <row r="35" spans="1:6" x14ac:dyDescent="0.25">
      <c r="A35">
        <v>24</v>
      </c>
      <c r="C35" s="5">
        <f t="shared" si="0"/>
        <v>-178.07976812317546</v>
      </c>
      <c r="D35" s="5">
        <f t="shared" si="1"/>
        <v>-41.694367581119288</v>
      </c>
      <c r="E35" s="5">
        <f t="shared" si="2"/>
        <v>-136.38540054205615</v>
      </c>
      <c r="F35" s="23">
        <f t="shared" si="3"/>
        <v>31547.280859299281</v>
      </c>
    </row>
    <row r="36" spans="1:6" x14ac:dyDescent="0.25">
      <c r="A36">
        <v>25</v>
      </c>
      <c r="C36" s="5">
        <f t="shared" si="0"/>
        <v>-178.07976812317546</v>
      </c>
      <c r="D36" s="5">
        <f t="shared" si="1"/>
        <v>-41.874383013150769</v>
      </c>
      <c r="E36" s="5">
        <f t="shared" si="2"/>
        <v>-136.20538511002468</v>
      </c>
      <c r="F36" s="23">
        <f t="shared" si="3"/>
        <v>31505.406476286131</v>
      </c>
    </row>
    <row r="37" spans="1:6" x14ac:dyDescent="0.25">
      <c r="A37">
        <v>26</v>
      </c>
      <c r="C37" s="5">
        <f t="shared" si="0"/>
        <v>-178.07976812317546</v>
      </c>
      <c r="D37" s="5">
        <f t="shared" si="1"/>
        <v>-42.055175661810047</v>
      </c>
      <c r="E37" s="5">
        <f t="shared" si="2"/>
        <v>-136.02459246136542</v>
      </c>
      <c r="F37" s="23">
        <f t="shared" si="3"/>
        <v>31463.351300624319</v>
      </c>
    </row>
    <row r="38" spans="1:6" x14ac:dyDescent="0.25">
      <c r="A38">
        <v>27</v>
      </c>
      <c r="C38" s="5">
        <f t="shared" si="0"/>
        <v>-178.07976812317546</v>
      </c>
      <c r="D38" s="5">
        <f t="shared" si="1"/>
        <v>-42.236748882729913</v>
      </c>
      <c r="E38" s="5">
        <f t="shared" si="2"/>
        <v>-135.84301924044553</v>
      </c>
      <c r="F38" s="23">
        <f t="shared" si="3"/>
        <v>31421.11455174159</v>
      </c>
    </row>
    <row r="39" spans="1:6" x14ac:dyDescent="0.25">
      <c r="A39">
        <v>28</v>
      </c>
      <c r="C39" s="5">
        <f t="shared" si="0"/>
        <v>-178.07976812317546</v>
      </c>
      <c r="D39" s="5">
        <f t="shared" si="1"/>
        <v>-42.419106046031096</v>
      </c>
      <c r="E39" s="5">
        <f t="shared" si="2"/>
        <v>-135.66066207714434</v>
      </c>
      <c r="F39" s="23">
        <f t="shared" si="3"/>
        <v>31378.695445695557</v>
      </c>
    </row>
    <row r="40" spans="1:6" x14ac:dyDescent="0.25">
      <c r="A40">
        <v>29</v>
      </c>
      <c r="C40" s="5">
        <f t="shared" si="0"/>
        <v>-178.07976812317546</v>
      </c>
      <c r="D40" s="5">
        <f t="shared" si="1"/>
        <v>-42.602250536384837</v>
      </c>
      <c r="E40" s="5">
        <f t="shared" si="2"/>
        <v>-135.47751758679061</v>
      </c>
      <c r="F40" s="23">
        <f t="shared" si="3"/>
        <v>31336.093195159174</v>
      </c>
    </row>
    <row r="41" spans="1:6" x14ac:dyDescent="0.25">
      <c r="A41">
        <v>30</v>
      </c>
      <c r="C41" s="5">
        <f t="shared" si="0"/>
        <v>-178.07976812317546</v>
      </c>
      <c r="D41" s="5">
        <f t="shared" si="1"/>
        <v>-42.786185753075678</v>
      </c>
      <c r="E41" s="5">
        <f t="shared" si="2"/>
        <v>-135.29358237009976</v>
      </c>
      <c r="F41" s="23">
        <f t="shared" si="3"/>
        <v>31293.307009406097</v>
      </c>
    </row>
    <row r="42" spans="1:6" x14ac:dyDescent="0.25">
      <c r="A42">
        <v>31</v>
      </c>
      <c r="C42" s="5">
        <f t="shared" si="0"/>
        <v>-178.07976812317546</v>
      </c>
      <c r="D42" s="5">
        <f t="shared" si="1"/>
        <v>-42.970915110064581</v>
      </c>
      <c r="E42" s="5">
        <f t="shared" si="2"/>
        <v>-135.10885301311089</v>
      </c>
      <c r="F42" s="23">
        <f t="shared" si="3"/>
        <v>31250.336094296032</v>
      </c>
    </row>
    <row r="43" spans="1:6" x14ac:dyDescent="0.25">
      <c r="A43">
        <v>32</v>
      </c>
      <c r="C43" s="5">
        <f t="shared" si="0"/>
        <v>-178.07976812317546</v>
      </c>
      <c r="D43" s="5">
        <f t="shared" si="1"/>
        <v>-43.15644203605229</v>
      </c>
      <c r="E43" s="5">
        <f t="shared" si="2"/>
        <v>-134.92332608712314</v>
      </c>
      <c r="F43" s="23">
        <f t="shared" si="3"/>
        <v>31207.17965225998</v>
      </c>
    </row>
    <row r="44" spans="1:6" x14ac:dyDescent="0.25">
      <c r="A44">
        <v>33</v>
      </c>
      <c r="C44" s="5">
        <f t="shared" si="0"/>
        <v>-178.07976812317546</v>
      </c>
      <c r="D44" s="5">
        <f t="shared" si="1"/>
        <v>-43.342769974542946</v>
      </c>
      <c r="E44" s="5">
        <f t="shared" si="2"/>
        <v>-134.73699814863249</v>
      </c>
      <c r="F44" s="23">
        <f t="shared" si="3"/>
        <v>31163.836882285435</v>
      </c>
    </row>
    <row r="45" spans="1:6" x14ac:dyDescent="0.25">
      <c r="A45">
        <v>34</v>
      </c>
      <c r="C45" s="5">
        <f t="shared" si="0"/>
        <v>-178.07976812317546</v>
      </c>
      <c r="D45" s="5">
        <f t="shared" si="1"/>
        <v>-43.529902383908045</v>
      </c>
      <c r="E45" s="5">
        <f t="shared" si="2"/>
        <v>-134.5498657392674</v>
      </c>
      <c r="F45" s="23">
        <f t="shared" si="3"/>
        <v>31120.306979901528</v>
      </c>
    </row>
    <row r="46" spans="1:6" x14ac:dyDescent="0.25">
      <c r="A46">
        <v>35</v>
      </c>
      <c r="C46" s="5">
        <f t="shared" si="0"/>
        <v>-178.07976812317546</v>
      </c>
      <c r="D46" s="5">
        <f t="shared" si="1"/>
        <v>-43.71784273745056</v>
      </c>
      <c r="E46" s="5">
        <f t="shared" si="2"/>
        <v>-134.36192538572487</v>
      </c>
      <c r="F46" s="23">
        <f t="shared" si="3"/>
        <v>31076.589137164079</v>
      </c>
    </row>
    <row r="47" spans="1:6" x14ac:dyDescent="0.25">
      <c r="A47">
        <v>36</v>
      </c>
      <c r="C47" s="5">
        <f t="shared" si="0"/>
        <v>-178.07976812317546</v>
      </c>
      <c r="D47" s="5">
        <f t="shared" si="1"/>
        <v>-43.906594523469501</v>
      </c>
      <c r="E47" s="5">
        <f t="shared" si="2"/>
        <v>-134.17317359970596</v>
      </c>
      <c r="F47" s="23">
        <f t="shared" si="3"/>
        <v>31032.68254264061</v>
      </c>
    </row>
    <row r="48" spans="1:6" x14ac:dyDescent="0.25">
      <c r="A48">
        <v>37</v>
      </c>
      <c r="C48" s="5">
        <f t="shared" si="0"/>
        <v>-178.07976812317546</v>
      </c>
      <c r="D48" s="5">
        <f t="shared" si="1"/>
        <v>-44.096161245324588</v>
      </c>
      <c r="E48" s="5">
        <f t="shared" si="2"/>
        <v>-133.98360687785086</v>
      </c>
      <c r="F48" s="23">
        <f t="shared" si="3"/>
        <v>30988.586381395286</v>
      </c>
    </row>
    <row r="49" spans="1:6" x14ac:dyDescent="0.25">
      <c r="A49">
        <v>38</v>
      </c>
      <c r="C49" s="5">
        <f t="shared" si="0"/>
        <v>-178.07976812317546</v>
      </c>
      <c r="D49" s="5">
        <f t="shared" si="1"/>
        <v>-44.286546421501271</v>
      </c>
      <c r="E49" s="5">
        <f t="shared" si="2"/>
        <v>-133.79322170167418</v>
      </c>
      <c r="F49" s="23">
        <f t="shared" si="3"/>
        <v>30944.299834973783</v>
      </c>
    </row>
    <row r="50" spans="1:6" x14ac:dyDescent="0.25">
      <c r="A50">
        <v>39</v>
      </c>
      <c r="C50" s="5">
        <f t="shared" si="0"/>
        <v>-178.07976812317546</v>
      </c>
      <c r="D50" s="5">
        <f t="shared" si="1"/>
        <v>-44.477753585676105</v>
      </c>
      <c r="E50" s="5">
        <f t="shared" si="2"/>
        <v>-133.60201453749934</v>
      </c>
      <c r="F50" s="23">
        <f t="shared" si="3"/>
        <v>30899.822081388105</v>
      </c>
    </row>
    <row r="51" spans="1:6" x14ac:dyDescent="0.25">
      <c r="A51">
        <v>40</v>
      </c>
      <c r="C51" s="5">
        <f t="shared" si="0"/>
        <v>-178.07976812317546</v>
      </c>
      <c r="D51" s="5">
        <f t="shared" si="1"/>
        <v>-44.669786286782262</v>
      </c>
      <c r="E51" s="5">
        <f t="shared" si="2"/>
        <v>-133.4099818363932</v>
      </c>
      <c r="F51" s="23">
        <f t="shared" si="3"/>
        <v>30855.152295101321</v>
      </c>
    </row>
    <row r="52" spans="1:6" x14ac:dyDescent="0.25">
      <c r="A52">
        <v>41</v>
      </c>
      <c r="C52" s="5">
        <f t="shared" si="0"/>
        <v>-178.07976812317546</v>
      </c>
      <c r="D52" s="5">
        <f t="shared" si="1"/>
        <v>-44.862648089075442</v>
      </c>
      <c r="E52" s="5">
        <f t="shared" si="2"/>
        <v>-133.21712003410002</v>
      </c>
      <c r="F52" s="23">
        <f t="shared" si="3"/>
        <v>30810.289647012247</v>
      </c>
    </row>
    <row r="53" spans="1:6" x14ac:dyDescent="0.25">
      <c r="A53">
        <v>42</v>
      </c>
      <c r="C53" s="5">
        <f t="shared" si="0"/>
        <v>-178.07976812317546</v>
      </c>
      <c r="D53" s="5">
        <f t="shared" si="1"/>
        <v>-45.05634257220003</v>
      </c>
      <c r="E53" s="5">
        <f t="shared" si="2"/>
        <v>-133.02342555097542</v>
      </c>
      <c r="F53" s="23">
        <f t="shared" si="3"/>
        <v>30765.233304440048</v>
      </c>
    </row>
    <row r="54" spans="1:6" x14ac:dyDescent="0.25">
      <c r="A54">
        <v>43</v>
      </c>
      <c r="C54" s="5">
        <f t="shared" si="0"/>
        <v>-178.07976812317546</v>
      </c>
      <c r="D54" s="5">
        <f t="shared" si="1"/>
        <v>-45.250873331255491</v>
      </c>
      <c r="E54" s="5">
        <f t="shared" si="2"/>
        <v>-132.82889479191996</v>
      </c>
      <c r="F54" s="23">
        <f t="shared" si="3"/>
        <v>30719.98243110879</v>
      </c>
    </row>
    <row r="55" spans="1:6" x14ac:dyDescent="0.25">
      <c r="A55">
        <v>44</v>
      </c>
      <c r="C55" s="5">
        <f t="shared" si="0"/>
        <v>-178.07976812317546</v>
      </c>
      <c r="D55" s="5">
        <f t="shared" si="1"/>
        <v>-45.446243976863187</v>
      </c>
      <c r="E55" s="5">
        <f t="shared" si="2"/>
        <v>-132.63352414631225</v>
      </c>
      <c r="F55" s="23">
        <f t="shared" si="3"/>
        <v>30674.536187131926</v>
      </c>
    </row>
    <row r="56" spans="1:6" x14ac:dyDescent="0.25">
      <c r="A56">
        <v>45</v>
      </c>
      <c r="C56" s="5">
        <f t="shared" si="0"/>
        <v>-178.07976812317546</v>
      </c>
      <c r="D56" s="5">
        <f t="shared" si="1"/>
        <v>-45.642458135233291</v>
      </c>
      <c r="E56" s="5">
        <f t="shared" si="2"/>
        <v>-132.43730998794214</v>
      </c>
      <c r="F56" s="23">
        <f t="shared" si="3"/>
        <v>30628.893728996693</v>
      </c>
    </row>
    <row r="57" spans="1:6" x14ac:dyDescent="0.25">
      <c r="A57">
        <v>46</v>
      </c>
      <c r="C57" s="5">
        <f t="shared" si="0"/>
        <v>-178.07976812317546</v>
      </c>
      <c r="D57" s="5">
        <f t="shared" si="1"/>
        <v>-45.839519448232167</v>
      </c>
      <c r="E57" s="5">
        <f t="shared" si="2"/>
        <v>-132.24024867494327</v>
      </c>
      <c r="F57" s="23">
        <f t="shared" si="3"/>
        <v>30583.05420954846</v>
      </c>
    </row>
    <row r="58" spans="1:6" x14ac:dyDescent="0.25">
      <c r="A58">
        <v>47</v>
      </c>
      <c r="C58" s="5">
        <f t="shared" si="0"/>
        <v>-178.07976812317546</v>
      </c>
      <c r="D58" s="5">
        <f t="shared" si="1"/>
        <v>-46.037431573449915</v>
      </c>
      <c r="E58" s="5">
        <f t="shared" si="2"/>
        <v>-132.04233654972552</v>
      </c>
      <c r="F58" s="23">
        <f t="shared" si="3"/>
        <v>30537.016777975008</v>
      </c>
    </row>
    <row r="59" spans="1:6" x14ac:dyDescent="0.25">
      <c r="A59">
        <v>48</v>
      </c>
      <c r="C59" s="5">
        <f t="shared" si="0"/>
        <v>-178.07976812317546</v>
      </c>
      <c r="D59" s="5">
        <f t="shared" si="1"/>
        <v>-46.236198184268275</v>
      </c>
      <c r="E59" s="5">
        <f t="shared" si="2"/>
        <v>-131.84356993890719</v>
      </c>
      <c r="F59" s="23">
        <f t="shared" si="3"/>
        <v>30490.780579790739</v>
      </c>
    </row>
    <row r="60" spans="1:6" x14ac:dyDescent="0.25">
      <c r="A60">
        <v>49</v>
      </c>
      <c r="C60" s="5">
        <f t="shared" si="0"/>
        <v>-178.07976812317546</v>
      </c>
      <c r="D60" s="5">
        <f t="shared" si="1"/>
        <v>-46.43582296992885</v>
      </c>
      <c r="E60" s="5">
        <f t="shared" si="2"/>
        <v>-131.64394515324659</v>
      </c>
      <c r="F60" s="23">
        <f t="shared" si="3"/>
        <v>30444.34475682081</v>
      </c>
    </row>
    <row r="61" spans="1:6" x14ac:dyDescent="0.25">
      <c r="A61">
        <v>50</v>
      </c>
      <c r="C61" s="5">
        <f t="shared" si="0"/>
        <v>-178.07976812317546</v>
      </c>
      <c r="D61" s="5">
        <f t="shared" si="1"/>
        <v>-46.636309635601542</v>
      </c>
      <c r="E61" s="5">
        <f t="shared" si="2"/>
        <v>-131.44345848757391</v>
      </c>
      <c r="F61" s="23">
        <f t="shared" si="3"/>
        <v>30397.70844718521</v>
      </c>
    </row>
    <row r="62" spans="1:6" x14ac:dyDescent="0.25">
      <c r="A62">
        <v>51</v>
      </c>
      <c r="C62" s="5">
        <f t="shared" si="0"/>
        <v>-178.07976812317546</v>
      </c>
      <c r="D62" s="5">
        <f t="shared" si="1"/>
        <v>-46.837661902453242</v>
      </c>
      <c r="E62" s="5">
        <f t="shared" si="2"/>
        <v>-131.24210622072221</v>
      </c>
      <c r="F62" s="23">
        <f t="shared" si="3"/>
        <v>30350.870785282757</v>
      </c>
    </row>
    <row r="63" spans="1:6" x14ac:dyDescent="0.25">
      <c r="A63">
        <v>52</v>
      </c>
      <c r="C63" s="5">
        <f t="shared" si="0"/>
        <v>-178.07976812317546</v>
      </c>
      <c r="D63" s="5">
        <f t="shared" si="1"/>
        <v>-47.039883507717086</v>
      </c>
      <c r="E63" s="5">
        <f t="shared" si="2"/>
        <v>-131.03988461545836</v>
      </c>
      <c r="F63" s="23">
        <f t="shared" si="3"/>
        <v>30303.83090177504</v>
      </c>
    </row>
    <row r="64" spans="1:6" x14ac:dyDescent="0.25">
      <c r="A64">
        <v>53</v>
      </c>
      <c r="C64" s="5">
        <f t="shared" si="0"/>
        <v>-178.07976812317546</v>
      </c>
      <c r="D64" s="5">
        <f t="shared" si="1"/>
        <v>-47.242978204761656</v>
      </c>
      <c r="E64" s="5">
        <f t="shared" si="2"/>
        <v>-130.83678991841379</v>
      </c>
      <c r="F64" s="23">
        <f t="shared" si="3"/>
        <v>30256.587923570278</v>
      </c>
    </row>
    <row r="65" spans="1:6" x14ac:dyDescent="0.25">
      <c r="A65">
        <v>54</v>
      </c>
      <c r="C65" s="5">
        <f t="shared" si="0"/>
        <v>-178.07976812317546</v>
      </c>
      <c r="D65" s="5">
        <f t="shared" si="1"/>
        <v>-47.446949763160717</v>
      </c>
      <c r="E65" s="5">
        <f t="shared" si="2"/>
        <v>-130.63281836001474</v>
      </c>
      <c r="F65" s="23">
        <f t="shared" si="3"/>
        <v>30209.140973807116</v>
      </c>
    </row>
    <row r="66" spans="1:6" x14ac:dyDescent="0.25">
      <c r="A66">
        <v>55</v>
      </c>
      <c r="C66" s="5">
        <f t="shared" si="0"/>
        <v>-178.07976812317546</v>
      </c>
      <c r="D66" s="5">
        <f t="shared" si="1"/>
        <v>-47.651801968763159</v>
      </c>
      <c r="E66" s="5">
        <f t="shared" si="2"/>
        <v>-130.4279661544123</v>
      </c>
      <c r="F66" s="23">
        <f t="shared" si="3"/>
        <v>30161.489171838351</v>
      </c>
    </row>
    <row r="67" spans="1:6" x14ac:dyDescent="0.25">
      <c r="A67">
        <v>56</v>
      </c>
      <c r="C67" s="5">
        <f t="shared" si="0"/>
        <v>-178.07976812317546</v>
      </c>
      <c r="D67" s="5">
        <f t="shared" si="1"/>
        <v>-47.85753862376329</v>
      </c>
      <c r="E67" s="5">
        <f t="shared" si="2"/>
        <v>-130.22222949941215</v>
      </c>
      <c r="F67" s="23">
        <f t="shared" si="3"/>
        <v>30113.631633214587</v>
      </c>
    </row>
    <row r="68" spans="1:6" x14ac:dyDescent="0.25">
      <c r="A68">
        <v>57</v>
      </c>
      <c r="C68" s="5">
        <f t="shared" si="0"/>
        <v>-178.07976812317546</v>
      </c>
      <c r="D68" s="5">
        <f t="shared" si="1"/>
        <v>-48.064163546771383</v>
      </c>
      <c r="E68" s="5">
        <f t="shared" si="2"/>
        <v>-130.01560457640406</v>
      </c>
      <c r="F68" s="23">
        <f t="shared" si="3"/>
        <v>30065.567469667814</v>
      </c>
    </row>
    <row r="69" spans="1:6" x14ac:dyDescent="0.25">
      <c r="A69">
        <v>58</v>
      </c>
      <c r="C69" s="5">
        <f t="shared" si="0"/>
        <v>-178.07976812317546</v>
      </c>
      <c r="D69" s="5">
        <f t="shared" si="1"/>
        <v>-48.27168057288457</v>
      </c>
      <c r="E69" s="5">
        <f t="shared" si="2"/>
        <v>-129.80808755029088</v>
      </c>
      <c r="F69" s="23">
        <f t="shared" si="3"/>
        <v>30017.295789094929</v>
      </c>
    </row>
    <row r="70" spans="1:6" x14ac:dyDescent="0.25">
      <c r="A70">
        <v>59</v>
      </c>
      <c r="C70" s="5">
        <f t="shared" si="0"/>
        <v>-178.07976812317546</v>
      </c>
      <c r="D70" s="5">
        <f t="shared" si="1"/>
        <v>-48.480093553757989</v>
      </c>
      <c r="E70" s="5">
        <f t="shared" si="2"/>
        <v>-129.59967456941743</v>
      </c>
      <c r="F70" s="23">
        <f t="shared" si="3"/>
        <v>29968.815695541172</v>
      </c>
    </row>
    <row r="71" spans="1:6" x14ac:dyDescent="0.25">
      <c r="A71">
        <v>60</v>
      </c>
      <c r="C71" s="5">
        <f t="shared" si="0"/>
        <v>-178.07976812317546</v>
      </c>
      <c r="D71" s="5">
        <f t="shared" si="1"/>
        <v>-48.689406357676347</v>
      </c>
      <c r="E71" s="5">
        <f t="shared" si="2"/>
        <v>-129.39036176549911</v>
      </c>
      <c r="F71" s="23">
        <f t="shared" si="3"/>
        <v>29920.126289183496</v>
      </c>
    </row>
    <row r="72" spans="1:6" x14ac:dyDescent="0.25">
      <c r="A72">
        <v>61</v>
      </c>
      <c r="C72" s="5">
        <f t="shared" si="0"/>
        <v>-178.07976812317546</v>
      </c>
      <c r="D72" s="5">
        <f t="shared" si="1"/>
        <v>-48.899622869625617</v>
      </c>
      <c r="E72" s="5">
        <f t="shared" si="2"/>
        <v>-129.18014525354985</v>
      </c>
      <c r="F72" s="23">
        <f t="shared" si="3"/>
        <v>29871.226666313869</v>
      </c>
    </row>
    <row r="73" spans="1:6" x14ac:dyDescent="0.25">
      <c r="A73">
        <v>62</v>
      </c>
      <c r="C73" s="5">
        <f t="shared" si="0"/>
        <v>-178.07976812317546</v>
      </c>
      <c r="D73" s="5">
        <f t="shared" si="1"/>
        <v>-49.110746991365218</v>
      </c>
      <c r="E73" s="5">
        <f t="shared" si="2"/>
        <v>-128.96902113181022</v>
      </c>
      <c r="F73" s="23">
        <f t="shared" si="3"/>
        <v>29822.115919322503</v>
      </c>
    </row>
    <row r="74" spans="1:6" x14ac:dyDescent="0.25">
      <c r="A74">
        <v>63</v>
      </c>
      <c r="C74" s="5">
        <f t="shared" si="0"/>
        <v>-178.07976812317546</v>
      </c>
      <c r="D74" s="5">
        <f t="shared" si="1"/>
        <v>-49.322782641500439</v>
      </c>
      <c r="E74" s="5">
        <f t="shared" si="2"/>
        <v>-128.756985481675</v>
      </c>
      <c r="F74" s="23">
        <f t="shared" si="3"/>
        <v>29772.793136681004</v>
      </c>
    </row>
    <row r="75" spans="1:6" x14ac:dyDescent="0.25">
      <c r="A75">
        <v>64</v>
      </c>
      <c r="C75" s="5">
        <f t="shared" si="0"/>
        <v>-178.07976812317546</v>
      </c>
      <c r="D75" s="5">
        <f t="shared" si="1"/>
        <v>-49.535733755555114</v>
      </c>
      <c r="E75" s="5">
        <f t="shared" si="2"/>
        <v>-128.54403436762033</v>
      </c>
      <c r="F75" s="23">
        <f t="shared" si="3"/>
        <v>29723.25740292545</v>
      </c>
    </row>
    <row r="76" spans="1:6" x14ac:dyDescent="0.25">
      <c r="A76">
        <v>65</v>
      </c>
      <c r="C76" s="5">
        <f t="shared" ref="C76:C139" si="4">IF(A76&lt;=$C$4*$C$3,PMT($C$2/$C$4,$C$3*$C$4,$C$5),0)</f>
        <v>-178.07976812317546</v>
      </c>
      <c r="D76" s="5">
        <f t="shared" ref="D76:D139" si="5">IFERROR(PPMT($C$2/$C$4,A76,$C$3*$C$4,$C$5),0)</f>
        <v>-49.749604286044743</v>
      </c>
      <c r="E76" s="5">
        <f t="shared" ref="E76:E139" si="6">IFERROR(IPMT($C$2/$C$4,A76,$C$3*$C$4,$C$5),0)</f>
        <v>-128.33016383713073</v>
      </c>
      <c r="F76" s="23">
        <f t="shared" si="3"/>
        <v>29673.507798639406</v>
      </c>
    </row>
    <row r="77" spans="1:6" x14ac:dyDescent="0.25">
      <c r="A77">
        <v>66</v>
      </c>
      <c r="C77" s="5">
        <f t="shared" si="4"/>
        <v>-178.07976812317546</v>
      </c>
      <c r="D77" s="5">
        <f t="shared" si="5"/>
        <v>-49.964398202549745</v>
      </c>
      <c r="E77" s="5">
        <f t="shared" si="6"/>
        <v>-128.11536992062571</v>
      </c>
      <c r="F77" s="23">
        <f t="shared" ref="F77:F140" si="7">IFERROR(F76+D77,0)</f>
        <v>29623.543400436858</v>
      </c>
    </row>
    <row r="78" spans="1:6" x14ac:dyDescent="0.25">
      <c r="A78">
        <v>67</v>
      </c>
      <c r="C78" s="5">
        <f t="shared" si="4"/>
        <v>-178.07976812317546</v>
      </c>
      <c r="D78" s="5">
        <f t="shared" si="5"/>
        <v>-50.180119491789249</v>
      </c>
      <c r="E78" s="5">
        <f t="shared" si="6"/>
        <v>-127.8996486313862</v>
      </c>
      <c r="F78" s="23">
        <f t="shared" si="7"/>
        <v>29573.363280945068</v>
      </c>
    </row>
    <row r="79" spans="1:6" x14ac:dyDescent="0.25">
      <c r="A79">
        <v>68</v>
      </c>
      <c r="C79" s="5">
        <f t="shared" si="4"/>
        <v>-178.07976812317546</v>
      </c>
      <c r="D79" s="5">
        <f t="shared" si="5"/>
        <v>-50.396772157695047</v>
      </c>
      <c r="E79" s="5">
        <f t="shared" si="6"/>
        <v>-127.6829959654804</v>
      </c>
      <c r="F79" s="23">
        <f t="shared" si="7"/>
        <v>29522.966508787373</v>
      </c>
    </row>
    <row r="80" spans="1:6" x14ac:dyDescent="0.25">
      <c r="A80">
        <v>69</v>
      </c>
      <c r="C80" s="5">
        <f t="shared" si="4"/>
        <v>-178.07976812317546</v>
      </c>
      <c r="D80" s="5">
        <f t="shared" si="5"/>
        <v>-50.614360221485889</v>
      </c>
      <c r="E80" s="5">
        <f t="shared" si="6"/>
        <v>-127.46540790168955</v>
      </c>
      <c r="F80" s="23">
        <f t="shared" si="7"/>
        <v>29472.352148565886</v>
      </c>
    </row>
    <row r="81" spans="1:6" x14ac:dyDescent="0.25">
      <c r="A81">
        <v>70</v>
      </c>
      <c r="C81" s="5">
        <f t="shared" si="4"/>
        <v>-178.07976812317546</v>
      </c>
      <c r="D81" s="5">
        <f t="shared" si="5"/>
        <v>-50.832887721742154</v>
      </c>
      <c r="E81" s="5">
        <f t="shared" si="6"/>
        <v>-127.2468804014333</v>
      </c>
      <c r="F81" s="23">
        <f t="shared" si="7"/>
        <v>29421.519260844143</v>
      </c>
    </row>
    <row r="82" spans="1:6" x14ac:dyDescent="0.25">
      <c r="A82">
        <v>71</v>
      </c>
      <c r="C82" s="5">
        <f t="shared" si="4"/>
        <v>-178.07976812317546</v>
      </c>
      <c r="D82" s="5">
        <f t="shared" si="5"/>
        <v>-51.052358714480775</v>
      </c>
      <c r="E82" s="5">
        <f t="shared" si="6"/>
        <v>-127.02740940869467</v>
      </c>
      <c r="F82" s="23">
        <f t="shared" si="7"/>
        <v>29370.466902129661</v>
      </c>
    </row>
    <row r="83" spans="1:6" x14ac:dyDescent="0.25">
      <c r="A83">
        <v>72</v>
      </c>
      <c r="C83" s="5">
        <f t="shared" si="4"/>
        <v>-178.07976812317546</v>
      </c>
      <c r="D83" s="5">
        <f t="shared" si="5"/>
        <v>-51.272777273230545</v>
      </c>
      <c r="E83" s="5">
        <f t="shared" si="6"/>
        <v>-126.8069908499449</v>
      </c>
      <c r="F83" s="23">
        <f t="shared" si="7"/>
        <v>29319.194124856429</v>
      </c>
    </row>
    <row r="84" spans="1:6" x14ac:dyDescent="0.25">
      <c r="A84">
        <v>73</v>
      </c>
      <c r="C84" s="5">
        <f t="shared" si="4"/>
        <v>-178.07976812317546</v>
      </c>
      <c r="D84" s="5">
        <f t="shared" si="5"/>
        <v>-51.494147489107725</v>
      </c>
      <c r="E84" s="5">
        <f t="shared" si="6"/>
        <v>-126.58562063406774</v>
      </c>
      <c r="F84" s="23">
        <f t="shared" si="7"/>
        <v>29267.69997736732</v>
      </c>
    </row>
    <row r="85" spans="1:6" x14ac:dyDescent="0.25">
      <c r="A85">
        <v>74</v>
      </c>
      <c r="C85" s="5">
        <f t="shared" si="4"/>
        <v>-178.07976812317546</v>
      </c>
      <c r="D85" s="5">
        <f t="shared" si="5"/>
        <v>-51.716473470891948</v>
      </c>
      <c r="E85" s="5">
        <f t="shared" si="6"/>
        <v>-126.36329465228351</v>
      </c>
      <c r="F85" s="23">
        <f t="shared" si="7"/>
        <v>29215.983503896427</v>
      </c>
    </row>
    <row r="86" spans="1:6" x14ac:dyDescent="0.25">
      <c r="A86">
        <v>75</v>
      </c>
      <c r="C86" s="5">
        <f t="shared" si="4"/>
        <v>-178.07976812317546</v>
      </c>
      <c r="D86" s="5">
        <f t="shared" si="5"/>
        <v>-51.939759345102509</v>
      </c>
      <c r="E86" s="5">
        <f t="shared" si="6"/>
        <v>-126.14000877807295</v>
      </c>
      <c r="F86" s="23">
        <f t="shared" si="7"/>
        <v>29164.043744551323</v>
      </c>
    </row>
    <row r="87" spans="1:6" x14ac:dyDescent="0.25">
      <c r="A87">
        <v>76</v>
      </c>
      <c r="C87" s="5">
        <f t="shared" si="4"/>
        <v>-178.07976812317546</v>
      </c>
      <c r="D87" s="5">
        <f t="shared" si="5"/>
        <v>-52.164009256075005</v>
      </c>
      <c r="E87" s="5">
        <f t="shared" si="6"/>
        <v>-125.91575886710045</v>
      </c>
      <c r="F87" s="23">
        <f t="shared" si="7"/>
        <v>29111.87973529525</v>
      </c>
    </row>
    <row r="88" spans="1:6" x14ac:dyDescent="0.25">
      <c r="A88">
        <v>77</v>
      </c>
      <c r="C88" s="5">
        <f t="shared" si="4"/>
        <v>-178.07976812317546</v>
      </c>
      <c r="D88" s="5">
        <f t="shared" si="5"/>
        <v>-52.389227366038099</v>
      </c>
      <c r="E88" s="5">
        <f t="shared" si="6"/>
        <v>-125.69054075713734</v>
      </c>
      <c r="F88" s="23">
        <f t="shared" si="7"/>
        <v>29059.490507929211</v>
      </c>
    </row>
    <row r="89" spans="1:6" x14ac:dyDescent="0.25">
      <c r="A89">
        <v>78</v>
      </c>
      <c r="C89" s="5">
        <f t="shared" si="4"/>
        <v>-178.07976812317546</v>
      </c>
      <c r="D89" s="5">
        <f t="shared" si="5"/>
        <v>-52.615417855190962</v>
      </c>
      <c r="E89" s="5">
        <f t="shared" si="6"/>
        <v>-125.46435026798449</v>
      </c>
      <c r="F89" s="23">
        <f t="shared" si="7"/>
        <v>29006.87509007402</v>
      </c>
    </row>
    <row r="90" spans="1:6" x14ac:dyDescent="0.25">
      <c r="A90">
        <v>79</v>
      </c>
      <c r="C90" s="5">
        <f t="shared" si="4"/>
        <v>-178.07976812317546</v>
      </c>
      <c r="D90" s="5">
        <f t="shared" si="5"/>
        <v>-52.842584921780762</v>
      </c>
      <c r="E90" s="5">
        <f t="shared" si="6"/>
        <v>-125.2371832013947</v>
      </c>
      <c r="F90" s="23">
        <f t="shared" si="7"/>
        <v>28954.032505152238</v>
      </c>
    </row>
    <row r="91" spans="1:6" x14ac:dyDescent="0.25">
      <c r="A91">
        <v>80</v>
      </c>
      <c r="C91" s="5">
        <f t="shared" si="4"/>
        <v>-178.07976812317546</v>
      </c>
      <c r="D91" s="5">
        <f t="shared" si="5"/>
        <v>-53.070732782180549</v>
      </c>
      <c r="E91" s="5">
        <f t="shared" si="6"/>
        <v>-125.00903534099491</v>
      </c>
      <c r="F91" s="23">
        <f t="shared" si="7"/>
        <v>28900.961772370058</v>
      </c>
    </row>
    <row r="92" spans="1:6" x14ac:dyDescent="0.25">
      <c r="A92">
        <v>81</v>
      </c>
      <c r="C92" s="5">
        <f t="shared" si="4"/>
        <v>-178.07976812317546</v>
      </c>
      <c r="D92" s="5">
        <f t="shared" si="5"/>
        <v>-53.299865670967613</v>
      </c>
      <c r="E92" s="5">
        <f t="shared" si="6"/>
        <v>-124.77990245220784</v>
      </c>
      <c r="F92" s="23">
        <f t="shared" si="7"/>
        <v>28847.66190669909</v>
      </c>
    </row>
    <row r="93" spans="1:6" x14ac:dyDescent="0.25">
      <c r="A93">
        <v>82</v>
      </c>
      <c r="C93" s="5">
        <f t="shared" si="4"/>
        <v>-178.07976812317546</v>
      </c>
      <c r="D93" s="5">
        <f t="shared" si="5"/>
        <v>-53.529987841002018</v>
      </c>
      <c r="E93" s="5">
        <f t="shared" si="6"/>
        <v>-124.54978028217343</v>
      </c>
      <c r="F93" s="23">
        <f t="shared" si="7"/>
        <v>28794.131918858089</v>
      </c>
    </row>
    <row r="94" spans="1:6" x14ac:dyDescent="0.25">
      <c r="A94">
        <v>83</v>
      </c>
      <c r="C94" s="5">
        <f t="shared" si="4"/>
        <v>-178.07976812317546</v>
      </c>
      <c r="D94" s="5">
        <f t="shared" si="5"/>
        <v>-53.761103563505543</v>
      </c>
      <c r="E94" s="5">
        <f t="shared" si="6"/>
        <v>-124.3186645596699</v>
      </c>
      <c r="F94" s="23">
        <f t="shared" si="7"/>
        <v>28740.370815294584</v>
      </c>
    </row>
    <row r="95" spans="1:6" x14ac:dyDescent="0.25">
      <c r="A95">
        <v>84</v>
      </c>
      <c r="C95" s="5">
        <f t="shared" si="4"/>
        <v>-178.07976812317546</v>
      </c>
      <c r="D95" s="5">
        <f t="shared" si="5"/>
        <v>-53.993217128140977</v>
      </c>
      <c r="E95" s="5">
        <f t="shared" si="6"/>
        <v>-124.08655099503446</v>
      </c>
      <c r="F95" s="23">
        <f t="shared" si="7"/>
        <v>28686.377598166444</v>
      </c>
    </row>
    <row r="96" spans="1:6" x14ac:dyDescent="0.25">
      <c r="A96">
        <v>85</v>
      </c>
      <c r="C96" s="5">
        <f t="shared" si="4"/>
        <v>-178.07976812317546</v>
      </c>
      <c r="D96" s="5">
        <f t="shared" si="5"/>
        <v>-54.226332843091726</v>
      </c>
      <c r="E96" s="5">
        <f t="shared" si="6"/>
        <v>-123.85343528008372</v>
      </c>
      <c r="F96" s="23">
        <f t="shared" si="7"/>
        <v>28632.151265323351</v>
      </c>
    </row>
    <row r="97" spans="1:6" x14ac:dyDescent="0.25">
      <c r="A97">
        <v>86</v>
      </c>
      <c r="C97" s="5">
        <f t="shared" si="4"/>
        <v>-178.07976812317546</v>
      </c>
      <c r="D97" s="5">
        <f t="shared" si="5"/>
        <v>-54.460455035141777</v>
      </c>
      <c r="E97" s="5">
        <f t="shared" si="6"/>
        <v>-123.61931308803366</v>
      </c>
      <c r="F97" s="23">
        <f t="shared" si="7"/>
        <v>28577.690810288208</v>
      </c>
    </row>
    <row r="98" spans="1:6" x14ac:dyDescent="0.25">
      <c r="A98">
        <v>87</v>
      </c>
      <c r="C98" s="5">
        <f t="shared" si="4"/>
        <v>-178.07976812317546</v>
      </c>
      <c r="D98" s="5">
        <f t="shared" si="5"/>
        <v>-54.695588049755997</v>
      </c>
      <c r="E98" s="5">
        <f t="shared" si="6"/>
        <v>-123.38418007341946</v>
      </c>
      <c r="F98" s="23">
        <f t="shared" si="7"/>
        <v>28522.995222238453</v>
      </c>
    </row>
    <row r="99" spans="1:6" x14ac:dyDescent="0.25">
      <c r="A99">
        <v>88</v>
      </c>
      <c r="C99" s="5">
        <f t="shared" si="4"/>
        <v>-178.07976812317546</v>
      </c>
      <c r="D99" s="5">
        <f t="shared" si="5"/>
        <v>-54.931736251160821</v>
      </c>
      <c r="E99" s="5">
        <f t="shared" si="6"/>
        <v>-123.14803187201463</v>
      </c>
      <c r="F99" s="23">
        <f t="shared" si="7"/>
        <v>28468.063485987292</v>
      </c>
    </row>
    <row r="100" spans="1:6" x14ac:dyDescent="0.25">
      <c r="A100">
        <v>89</v>
      </c>
      <c r="C100" s="5">
        <f t="shared" si="4"/>
        <v>-178.07976812317546</v>
      </c>
      <c r="D100" s="5">
        <f t="shared" si="5"/>
        <v>-55.16890402242521</v>
      </c>
      <c r="E100" s="5">
        <f t="shared" si="6"/>
        <v>-122.91086410075025</v>
      </c>
      <c r="F100" s="23">
        <f t="shared" si="7"/>
        <v>28412.894581964865</v>
      </c>
    </row>
    <row r="101" spans="1:6" x14ac:dyDescent="0.25">
      <c r="A101">
        <v>90</v>
      </c>
      <c r="C101" s="5">
        <f t="shared" si="4"/>
        <v>-178.07976812317546</v>
      </c>
      <c r="D101" s="5">
        <f t="shared" si="5"/>
        <v>-55.407095765542017</v>
      </c>
      <c r="E101" s="5">
        <f t="shared" si="6"/>
        <v>-122.67267235763343</v>
      </c>
      <c r="F101" s="23">
        <f t="shared" si="7"/>
        <v>28357.487486199323</v>
      </c>
    </row>
    <row r="102" spans="1:6" x14ac:dyDescent="0.25">
      <c r="A102">
        <v>91</v>
      </c>
      <c r="C102" s="5">
        <f t="shared" si="4"/>
        <v>-178.07976812317546</v>
      </c>
      <c r="D102" s="5">
        <f t="shared" si="5"/>
        <v>-55.646315901509752</v>
      </c>
      <c r="E102" s="5">
        <f t="shared" si="6"/>
        <v>-122.4334522216657</v>
      </c>
      <c r="F102" s="23">
        <f t="shared" si="7"/>
        <v>28301.841170297812</v>
      </c>
    </row>
    <row r="103" spans="1:6" x14ac:dyDescent="0.25">
      <c r="A103">
        <v>92</v>
      </c>
      <c r="C103" s="5">
        <f t="shared" si="4"/>
        <v>-178.07976812317546</v>
      </c>
      <c r="D103" s="5">
        <f t="shared" si="5"/>
        <v>-55.886568870414521</v>
      </c>
      <c r="E103" s="5">
        <f t="shared" si="6"/>
        <v>-122.19319925276093</v>
      </c>
      <c r="F103" s="23">
        <f t="shared" si="7"/>
        <v>28245.954601427398</v>
      </c>
    </row>
    <row r="104" spans="1:6" x14ac:dyDescent="0.25">
      <c r="A104">
        <v>93</v>
      </c>
      <c r="C104" s="5">
        <f t="shared" si="4"/>
        <v>-178.07976812317546</v>
      </c>
      <c r="D104" s="5">
        <f t="shared" si="5"/>
        <v>-56.127859131512544</v>
      </c>
      <c r="E104" s="5">
        <f t="shared" si="6"/>
        <v>-121.9519089916629</v>
      </c>
      <c r="F104" s="23">
        <f t="shared" si="7"/>
        <v>28189.826742295885</v>
      </c>
    </row>
    <row r="105" spans="1:6" x14ac:dyDescent="0.25">
      <c r="A105">
        <v>94</v>
      </c>
      <c r="C105" s="5">
        <f t="shared" si="4"/>
        <v>-178.07976812317546</v>
      </c>
      <c r="D105" s="5">
        <f t="shared" si="5"/>
        <v>-56.370191163312832</v>
      </c>
      <c r="E105" s="5">
        <f t="shared" si="6"/>
        <v>-121.70957695986262</v>
      </c>
      <c r="F105" s="23">
        <f t="shared" si="7"/>
        <v>28133.456551132571</v>
      </c>
    </row>
    <row r="106" spans="1:6" x14ac:dyDescent="0.25">
      <c r="A106">
        <v>95</v>
      </c>
      <c r="C106" s="5">
        <f t="shared" si="4"/>
        <v>-178.07976812317546</v>
      </c>
      <c r="D106" s="5">
        <f t="shared" si="5"/>
        <v>-56.613569463660433</v>
      </c>
      <c r="E106" s="5">
        <f t="shared" si="6"/>
        <v>-121.466198659515</v>
      </c>
      <c r="F106" s="23">
        <f t="shared" si="7"/>
        <v>28076.842981668909</v>
      </c>
    </row>
    <row r="107" spans="1:6" x14ac:dyDescent="0.25">
      <c r="A107">
        <v>96</v>
      </c>
      <c r="C107" s="5">
        <f t="shared" si="4"/>
        <v>-178.07976812317546</v>
      </c>
      <c r="D107" s="5">
        <f t="shared" si="5"/>
        <v>-56.85799854981979</v>
      </c>
      <c r="E107" s="5">
        <f t="shared" si="6"/>
        <v>-121.22176957335564</v>
      </c>
      <c r="F107" s="23">
        <f t="shared" si="7"/>
        <v>28019.984983119091</v>
      </c>
    </row>
    <row r="108" spans="1:6" x14ac:dyDescent="0.25">
      <c r="A108">
        <v>97</v>
      </c>
      <c r="C108" s="5">
        <f t="shared" si="4"/>
        <v>-178.07976812317546</v>
      </c>
      <c r="D108" s="5">
        <f t="shared" si="5"/>
        <v>-57.103482958558651</v>
      </c>
      <c r="E108" s="5">
        <f t="shared" si="6"/>
        <v>-120.9762851646168</v>
      </c>
      <c r="F108" s="23">
        <f t="shared" si="7"/>
        <v>27962.881500160533</v>
      </c>
    </row>
    <row r="109" spans="1:6" x14ac:dyDescent="0.25">
      <c r="A109">
        <v>98</v>
      </c>
      <c r="C109" s="5">
        <f t="shared" si="4"/>
        <v>-178.07976812317546</v>
      </c>
      <c r="D109" s="5">
        <f t="shared" si="5"/>
        <v>-57.350027246232223</v>
      </c>
      <c r="E109" s="5">
        <f t="shared" si="6"/>
        <v>-120.72974087694323</v>
      </c>
      <c r="F109" s="23">
        <f t="shared" si="7"/>
        <v>27905.531472914299</v>
      </c>
    </row>
    <row r="110" spans="1:6" x14ac:dyDescent="0.25">
      <c r="A110">
        <v>99</v>
      </c>
      <c r="C110" s="5">
        <f t="shared" si="4"/>
        <v>-178.07976812317546</v>
      </c>
      <c r="D110" s="5">
        <f t="shared" si="5"/>
        <v>-57.597635988867829</v>
      </c>
      <c r="E110" s="5">
        <f t="shared" si="6"/>
        <v>-120.48213213430762</v>
      </c>
      <c r="F110" s="23">
        <f t="shared" si="7"/>
        <v>27847.933836925433</v>
      </c>
    </row>
    <row r="111" spans="1:6" x14ac:dyDescent="0.25">
      <c r="A111">
        <v>100</v>
      </c>
      <c r="C111" s="5">
        <f t="shared" si="4"/>
        <v>-178.07976812317546</v>
      </c>
      <c r="D111" s="5">
        <f t="shared" si="5"/>
        <v>-57.846313782249773</v>
      </c>
      <c r="E111" s="5">
        <f t="shared" si="6"/>
        <v>-120.23345434092568</v>
      </c>
      <c r="F111" s="23">
        <f t="shared" si="7"/>
        <v>27790.087523143182</v>
      </c>
    </row>
    <row r="112" spans="1:6" x14ac:dyDescent="0.25">
      <c r="A112">
        <v>101</v>
      </c>
      <c r="C112" s="5">
        <f t="shared" si="4"/>
        <v>-178.07976812317546</v>
      </c>
      <c r="D112" s="5">
        <f t="shared" si="5"/>
        <v>-58.096065242004627</v>
      </c>
      <c r="E112" s="5">
        <f t="shared" si="6"/>
        <v>-119.98370288117081</v>
      </c>
      <c r="F112" s="23">
        <f t="shared" si="7"/>
        <v>27731.991457901178</v>
      </c>
    </row>
    <row r="113" spans="1:6" x14ac:dyDescent="0.25">
      <c r="A113">
        <v>102</v>
      </c>
      <c r="C113" s="5">
        <f t="shared" si="4"/>
        <v>-178.07976812317546</v>
      </c>
      <c r="D113" s="5">
        <f t="shared" si="5"/>
        <v>-58.346895003686996</v>
      </c>
      <c r="E113" s="5">
        <f t="shared" si="6"/>
        <v>-119.73287311948845</v>
      </c>
      <c r="F113" s="23">
        <f t="shared" si="7"/>
        <v>27673.644562897491</v>
      </c>
    </row>
    <row r="114" spans="1:6" x14ac:dyDescent="0.25">
      <c r="A114">
        <v>103</v>
      </c>
      <c r="C114" s="5">
        <f t="shared" si="4"/>
        <v>-178.07976812317546</v>
      </c>
      <c r="D114" s="5">
        <f t="shared" si="5"/>
        <v>-58.598807722865402</v>
      </c>
      <c r="E114" s="5">
        <f t="shared" si="6"/>
        <v>-119.48096040031004</v>
      </c>
      <c r="F114" s="23">
        <f t="shared" si="7"/>
        <v>27615.045755174626</v>
      </c>
    </row>
    <row r="115" spans="1:6" x14ac:dyDescent="0.25">
      <c r="A115">
        <v>104</v>
      </c>
      <c r="C115" s="5">
        <f t="shared" si="4"/>
        <v>-178.07976812317546</v>
      </c>
      <c r="D115" s="5">
        <f t="shared" si="5"/>
        <v>-58.851808075208872</v>
      </c>
      <c r="E115" s="5">
        <f t="shared" si="6"/>
        <v>-119.22796004796658</v>
      </c>
      <c r="F115" s="23">
        <f t="shared" si="7"/>
        <v>27556.193947099418</v>
      </c>
    </row>
    <row r="116" spans="1:6" x14ac:dyDescent="0.25">
      <c r="A116">
        <v>105</v>
      </c>
      <c r="C116" s="5">
        <f t="shared" si="4"/>
        <v>-178.07976812317546</v>
      </c>
      <c r="D116" s="5">
        <f t="shared" si="5"/>
        <v>-59.105900756573597</v>
      </c>
      <c r="E116" s="5">
        <f t="shared" si="6"/>
        <v>-118.97386736660185</v>
      </c>
      <c r="F116" s="23">
        <f t="shared" si="7"/>
        <v>27497.088046342844</v>
      </c>
    </row>
    <row r="117" spans="1:6" x14ac:dyDescent="0.25">
      <c r="A117">
        <v>106</v>
      </c>
      <c r="C117" s="5">
        <f t="shared" si="4"/>
        <v>-178.07976812317546</v>
      </c>
      <c r="D117" s="5">
        <f t="shared" si="5"/>
        <v>-59.361090483090095</v>
      </c>
      <c r="E117" s="5">
        <f t="shared" si="6"/>
        <v>-118.71867764008535</v>
      </c>
      <c r="F117" s="23">
        <f t="shared" si="7"/>
        <v>27437.726955859755</v>
      </c>
    </row>
    <row r="118" spans="1:6" x14ac:dyDescent="0.25">
      <c r="A118">
        <v>107</v>
      </c>
      <c r="C118" s="5">
        <f t="shared" si="4"/>
        <v>-178.07976812317546</v>
      </c>
      <c r="D118" s="5">
        <f t="shared" si="5"/>
        <v>-59.617381991250845</v>
      </c>
      <c r="E118" s="5">
        <f t="shared" si="6"/>
        <v>-118.46238613192462</v>
      </c>
      <c r="F118" s="23">
        <f t="shared" si="7"/>
        <v>27378.109573868504</v>
      </c>
    </row>
    <row r="119" spans="1:6" x14ac:dyDescent="0.25">
      <c r="A119">
        <v>108</v>
      </c>
      <c r="C119" s="5">
        <f t="shared" si="4"/>
        <v>-178.07976812317546</v>
      </c>
      <c r="D119" s="5">
        <f t="shared" si="5"/>
        <v>-59.874780037998065</v>
      </c>
      <c r="E119" s="5">
        <f t="shared" si="6"/>
        <v>-118.20498808517738</v>
      </c>
      <c r="F119" s="23">
        <f t="shared" si="7"/>
        <v>27318.234793830507</v>
      </c>
    </row>
    <row r="120" spans="1:6" x14ac:dyDescent="0.25">
      <c r="A120">
        <v>109</v>
      </c>
      <c r="C120" s="5">
        <f t="shared" si="4"/>
        <v>-178.07976812317546</v>
      </c>
      <c r="D120" s="5">
        <f t="shared" si="5"/>
        <v>-60.133289400812124</v>
      </c>
      <c r="E120" s="5">
        <f t="shared" si="6"/>
        <v>-117.94647872236332</v>
      </c>
      <c r="F120" s="23">
        <f t="shared" si="7"/>
        <v>27258.101504429695</v>
      </c>
    </row>
    <row r="121" spans="1:6" x14ac:dyDescent="0.25">
      <c r="A121">
        <v>110</v>
      </c>
      <c r="C121" s="5">
        <f t="shared" si="4"/>
        <v>-178.07976812317546</v>
      </c>
      <c r="D121" s="5">
        <f t="shared" si="5"/>
        <v>-60.392914877800116</v>
      </c>
      <c r="E121" s="5">
        <f t="shared" si="6"/>
        <v>-117.68685324537532</v>
      </c>
      <c r="F121" s="23">
        <f t="shared" si="7"/>
        <v>27197.708589551894</v>
      </c>
    </row>
    <row r="122" spans="1:6" x14ac:dyDescent="0.25">
      <c r="A122">
        <v>111</v>
      </c>
      <c r="C122" s="5">
        <f t="shared" si="4"/>
        <v>-178.07976812317546</v>
      </c>
      <c r="D122" s="5">
        <f t="shared" si="5"/>
        <v>-60.65366128778502</v>
      </c>
      <c r="E122" s="5">
        <f t="shared" si="6"/>
        <v>-117.42610683539041</v>
      </c>
      <c r="F122" s="23">
        <f t="shared" si="7"/>
        <v>27137.054928264108</v>
      </c>
    </row>
    <row r="123" spans="1:6" x14ac:dyDescent="0.25">
      <c r="A123">
        <v>112</v>
      </c>
      <c r="C123" s="5">
        <f t="shared" si="4"/>
        <v>-178.07976812317546</v>
      </c>
      <c r="D123" s="5">
        <f t="shared" si="5"/>
        <v>-60.915533470395033</v>
      </c>
      <c r="E123" s="5">
        <f t="shared" si="6"/>
        <v>-117.16423465278039</v>
      </c>
      <c r="F123" s="23">
        <f t="shared" si="7"/>
        <v>27076.139394793714</v>
      </c>
    </row>
    <row r="124" spans="1:6" x14ac:dyDescent="0.25">
      <c r="A124">
        <v>113</v>
      </c>
      <c r="C124" s="5">
        <f t="shared" si="4"/>
        <v>-178.07976812317546</v>
      </c>
      <c r="D124" s="5">
        <f t="shared" si="5"/>
        <v>-61.178536286153467</v>
      </c>
      <c r="E124" s="5">
        <f t="shared" si="6"/>
        <v>-116.90123183702197</v>
      </c>
      <c r="F124" s="23">
        <f t="shared" si="7"/>
        <v>27014.960858507562</v>
      </c>
    </row>
    <row r="125" spans="1:6" x14ac:dyDescent="0.25">
      <c r="A125">
        <v>114</v>
      </c>
      <c r="C125" s="5">
        <f t="shared" si="4"/>
        <v>-178.07976812317546</v>
      </c>
      <c r="D125" s="5">
        <f t="shared" si="5"/>
        <v>-61.442674616568951</v>
      </c>
      <c r="E125" s="5">
        <f t="shared" si="6"/>
        <v>-116.63709350660652</v>
      </c>
      <c r="F125" s="23">
        <f t="shared" si="7"/>
        <v>26953.518183890992</v>
      </c>
    </row>
    <row r="126" spans="1:6" x14ac:dyDescent="0.25">
      <c r="A126">
        <v>115</v>
      </c>
      <c r="C126" s="5">
        <f t="shared" si="4"/>
        <v>-178.07976812317546</v>
      </c>
      <c r="D126" s="5">
        <f t="shared" si="5"/>
        <v>-61.707953364225986</v>
      </c>
      <c r="E126" s="5">
        <f t="shared" si="6"/>
        <v>-116.37181475894947</v>
      </c>
      <c r="F126" s="23">
        <f t="shared" si="7"/>
        <v>26891.810230526768</v>
      </c>
    </row>
    <row r="127" spans="1:6" x14ac:dyDescent="0.25">
      <c r="A127">
        <v>116</v>
      </c>
      <c r="C127" s="5">
        <f t="shared" si="4"/>
        <v>-178.07976812317546</v>
      </c>
      <c r="D127" s="5">
        <f t="shared" si="5"/>
        <v>-61.97437745287602</v>
      </c>
      <c r="E127" s="5">
        <f t="shared" si="6"/>
        <v>-116.10539067029941</v>
      </c>
      <c r="F127" s="23">
        <f t="shared" si="7"/>
        <v>26829.835853073891</v>
      </c>
    </row>
    <row r="128" spans="1:6" x14ac:dyDescent="0.25">
      <c r="A128">
        <v>117</v>
      </c>
      <c r="C128" s="5">
        <f t="shared" si="4"/>
        <v>-178.07976812317546</v>
      </c>
      <c r="D128" s="5">
        <f t="shared" si="5"/>
        <v>-62.241951827528815</v>
      </c>
      <c r="E128" s="5">
        <f t="shared" si="6"/>
        <v>-115.83781629564662</v>
      </c>
      <c r="F128" s="23">
        <f t="shared" si="7"/>
        <v>26767.593901246364</v>
      </c>
    </row>
    <row r="129" spans="1:6" x14ac:dyDescent="0.25">
      <c r="A129">
        <v>118</v>
      </c>
      <c r="C129" s="5">
        <f t="shared" si="4"/>
        <v>-178.07976812317546</v>
      </c>
      <c r="D129" s="5">
        <f t="shared" si="5"/>
        <v>-62.510681454544184</v>
      </c>
      <c r="E129" s="5">
        <f t="shared" si="6"/>
        <v>-115.56908666863126</v>
      </c>
      <c r="F129" s="23">
        <f t="shared" si="7"/>
        <v>26705.083219791821</v>
      </c>
    </row>
    <row r="130" spans="1:6" x14ac:dyDescent="0.25">
      <c r="A130">
        <v>119</v>
      </c>
      <c r="C130" s="5">
        <f t="shared" si="4"/>
        <v>-178.07976812317546</v>
      </c>
      <c r="D130" s="5">
        <f t="shared" si="5"/>
        <v>-62.78057132172416</v>
      </c>
      <c r="E130" s="5">
        <f t="shared" si="6"/>
        <v>-115.29919680145129</v>
      </c>
      <c r="F130" s="23">
        <f t="shared" si="7"/>
        <v>26642.302648470097</v>
      </c>
    </row>
    <row r="131" spans="1:6" x14ac:dyDescent="0.25">
      <c r="A131">
        <v>120</v>
      </c>
      <c r="C131" s="5">
        <f t="shared" si="4"/>
        <v>-178.07976812317546</v>
      </c>
      <c r="D131" s="5">
        <f t="shared" si="5"/>
        <v>-63.051626438405712</v>
      </c>
      <c r="E131" s="5">
        <f t="shared" si="6"/>
        <v>-115.02814168476972</v>
      </c>
      <c r="F131" s="23">
        <f t="shared" si="7"/>
        <v>26579.251022031691</v>
      </c>
    </row>
    <row r="132" spans="1:6" x14ac:dyDescent="0.25">
      <c r="A132">
        <v>121</v>
      </c>
      <c r="C132" s="5">
        <f t="shared" si="4"/>
        <v>-178.07976812317546</v>
      </c>
      <c r="D132" s="5">
        <f t="shared" si="5"/>
        <v>-63.323851835553533</v>
      </c>
      <c r="E132" s="5">
        <f t="shared" si="6"/>
        <v>-114.75591628762193</v>
      </c>
      <c r="F132" s="23">
        <f t="shared" si="7"/>
        <v>26515.927170196137</v>
      </c>
    </row>
    <row r="133" spans="1:6" x14ac:dyDescent="0.25">
      <c r="A133">
        <v>122</v>
      </c>
      <c r="C133" s="5">
        <f t="shared" si="4"/>
        <v>-178.07976812317546</v>
      </c>
      <c r="D133" s="5">
        <f t="shared" si="5"/>
        <v>-63.597252565853523</v>
      </c>
      <c r="E133" s="5">
        <f t="shared" si="6"/>
        <v>-114.48251555732192</v>
      </c>
      <c r="F133" s="23">
        <f t="shared" si="7"/>
        <v>26452.329917630283</v>
      </c>
    </row>
    <row r="134" spans="1:6" x14ac:dyDescent="0.25">
      <c r="A134">
        <v>123</v>
      </c>
      <c r="C134" s="5">
        <f t="shared" si="4"/>
        <v>-178.07976812317546</v>
      </c>
      <c r="D134" s="5">
        <f t="shared" si="5"/>
        <v>-63.871833703806601</v>
      </c>
      <c r="E134" s="5">
        <f t="shared" si="6"/>
        <v>-114.20793441936885</v>
      </c>
      <c r="F134" s="23">
        <f t="shared" si="7"/>
        <v>26388.458083926475</v>
      </c>
    </row>
    <row r="135" spans="1:6" x14ac:dyDescent="0.25">
      <c r="A135">
        <v>124</v>
      </c>
      <c r="C135" s="5">
        <f t="shared" si="4"/>
        <v>-178.07976812317546</v>
      </c>
      <c r="D135" s="5">
        <f t="shared" si="5"/>
        <v>-64.147600345822781</v>
      </c>
      <c r="E135" s="5">
        <f t="shared" si="6"/>
        <v>-113.93216777735267</v>
      </c>
      <c r="F135" s="23">
        <f t="shared" si="7"/>
        <v>26324.310483580652</v>
      </c>
    </row>
    <row r="136" spans="1:6" x14ac:dyDescent="0.25">
      <c r="A136">
        <v>125</v>
      </c>
      <c r="C136" s="5">
        <f t="shared" si="4"/>
        <v>-178.07976812317546</v>
      </c>
      <c r="D136" s="5">
        <f t="shared" si="5"/>
        <v>-64.424557610315873</v>
      </c>
      <c r="E136" s="5">
        <f t="shared" si="6"/>
        <v>-113.65521051285957</v>
      </c>
      <c r="F136" s="23">
        <f t="shared" si="7"/>
        <v>26259.885925970335</v>
      </c>
    </row>
    <row r="137" spans="1:6" x14ac:dyDescent="0.25">
      <c r="A137">
        <v>126</v>
      </c>
      <c r="C137" s="5">
        <f t="shared" si="4"/>
        <v>-178.07976812317546</v>
      </c>
      <c r="D137" s="5">
        <f t="shared" si="5"/>
        <v>-64.702710637798418</v>
      </c>
      <c r="E137" s="5">
        <f t="shared" si="6"/>
        <v>-113.37705748537704</v>
      </c>
      <c r="F137" s="23">
        <f t="shared" si="7"/>
        <v>26195.183215332538</v>
      </c>
    </row>
    <row r="138" spans="1:6" x14ac:dyDescent="0.25">
      <c r="A138">
        <v>127</v>
      </c>
      <c r="C138" s="5">
        <f t="shared" si="4"/>
        <v>-178.07976812317546</v>
      </c>
      <c r="D138" s="5">
        <f t="shared" si="5"/>
        <v>-64.982064590977103</v>
      </c>
      <c r="E138" s="5">
        <f t="shared" si="6"/>
        <v>-113.09770353219837</v>
      </c>
      <c r="F138" s="23">
        <f t="shared" si="7"/>
        <v>26130.201150741559</v>
      </c>
    </row>
    <row r="139" spans="1:6" x14ac:dyDescent="0.25">
      <c r="A139">
        <v>128</v>
      </c>
      <c r="C139" s="5">
        <f t="shared" si="4"/>
        <v>-178.07976812317546</v>
      </c>
      <c r="D139" s="5">
        <f t="shared" si="5"/>
        <v>-65.262624654848651</v>
      </c>
      <c r="E139" s="5">
        <f t="shared" si="6"/>
        <v>-112.81714346832679</v>
      </c>
      <c r="F139" s="23">
        <f t="shared" si="7"/>
        <v>26064.938526086709</v>
      </c>
    </row>
    <row r="140" spans="1:6" x14ac:dyDescent="0.25">
      <c r="A140">
        <v>129</v>
      </c>
      <c r="C140" s="5">
        <f t="shared" ref="C140:C203" si="8">IF(A140&lt;=$C$4*$C$3,PMT($C$2/$C$4,$C$3*$C$4,$C$5),0)</f>
        <v>-178.07976812317546</v>
      </c>
      <c r="D140" s="5">
        <f t="shared" ref="D140:D203" si="9">IFERROR(PPMT($C$2/$C$4,A140,$C$3*$C$4,$C$5),0)</f>
        <v>-65.544396036795959</v>
      </c>
      <c r="E140" s="5">
        <f t="shared" ref="E140:E203" si="10">IFERROR(IPMT($C$2/$C$4,A140,$C$3*$C$4,$C$5),0)</f>
        <v>-112.53537208637947</v>
      </c>
      <c r="F140" s="23">
        <f t="shared" si="7"/>
        <v>25999.394130049914</v>
      </c>
    </row>
    <row r="141" spans="1:6" x14ac:dyDescent="0.25">
      <c r="A141">
        <v>130</v>
      </c>
      <c r="C141" s="5">
        <f t="shared" si="8"/>
        <v>-178.07976812317546</v>
      </c>
      <c r="D141" s="5">
        <f t="shared" si="9"/>
        <v>-65.827383966684835</v>
      </c>
      <c r="E141" s="5">
        <f t="shared" si="10"/>
        <v>-112.25238415649062</v>
      </c>
      <c r="F141" s="23">
        <f t="shared" ref="F141:F204" si="11">IFERROR(F140+D141,0)</f>
        <v>25933.56674608323</v>
      </c>
    </row>
    <row r="142" spans="1:6" x14ac:dyDescent="0.25">
      <c r="A142">
        <v>131</v>
      </c>
      <c r="C142" s="5">
        <f t="shared" si="8"/>
        <v>-178.07976812317546</v>
      </c>
      <c r="D142" s="5">
        <f t="shared" si="9"/>
        <v>-66.111593696960995</v>
      </c>
      <c r="E142" s="5">
        <f t="shared" si="10"/>
        <v>-111.96817442621446</v>
      </c>
      <c r="F142" s="23">
        <f t="shared" si="11"/>
        <v>25867.455152386268</v>
      </c>
    </row>
    <row r="143" spans="1:6" x14ac:dyDescent="0.25">
      <c r="A143">
        <v>132</v>
      </c>
      <c r="C143" s="5">
        <f t="shared" si="8"/>
        <v>-178.07976812317546</v>
      </c>
      <c r="D143" s="5">
        <f t="shared" si="9"/>
        <v>-66.397030502747612</v>
      </c>
      <c r="E143" s="5">
        <f t="shared" si="10"/>
        <v>-111.68273762042784</v>
      </c>
      <c r="F143" s="23">
        <f t="shared" si="11"/>
        <v>25801.058121883521</v>
      </c>
    </row>
    <row r="144" spans="1:6" x14ac:dyDescent="0.25">
      <c r="A144">
        <v>133</v>
      </c>
      <c r="C144" s="5">
        <f t="shared" si="8"/>
        <v>-178.07976812317546</v>
      </c>
      <c r="D144" s="5">
        <f t="shared" si="9"/>
        <v>-66.683699681943239</v>
      </c>
      <c r="E144" s="5">
        <f t="shared" si="10"/>
        <v>-111.39606844123222</v>
      </c>
      <c r="F144" s="23">
        <f t="shared" si="11"/>
        <v>25734.374422201578</v>
      </c>
    </row>
    <row r="145" spans="1:6" x14ac:dyDescent="0.25">
      <c r="A145">
        <v>134</v>
      </c>
      <c r="C145" s="5">
        <f t="shared" si="8"/>
        <v>-178.07976812317546</v>
      </c>
      <c r="D145" s="5">
        <f t="shared" si="9"/>
        <v>-66.971606555320022</v>
      </c>
      <c r="E145" s="5">
        <f t="shared" si="10"/>
        <v>-111.10816156785545</v>
      </c>
      <c r="F145" s="23">
        <f t="shared" si="11"/>
        <v>25667.402815646259</v>
      </c>
    </row>
    <row r="146" spans="1:6" x14ac:dyDescent="0.25">
      <c r="A146">
        <v>135</v>
      </c>
      <c r="C146" s="5">
        <f t="shared" si="8"/>
        <v>-178.07976812317546</v>
      </c>
      <c r="D146" s="5">
        <f t="shared" si="9"/>
        <v>-67.260756466622624</v>
      </c>
      <c r="E146" s="5">
        <f t="shared" si="10"/>
        <v>-110.81901165655283</v>
      </c>
      <c r="F146" s="23">
        <f t="shared" si="11"/>
        <v>25600.142059179638</v>
      </c>
    </row>
    <row r="147" spans="1:6" x14ac:dyDescent="0.25">
      <c r="A147">
        <v>136</v>
      </c>
      <c r="C147" s="5">
        <f t="shared" si="8"/>
        <v>-178.07976812317546</v>
      </c>
      <c r="D147" s="5">
        <f t="shared" si="9"/>
        <v>-67.551154782667268</v>
      </c>
      <c r="E147" s="5">
        <f t="shared" si="10"/>
        <v>-110.52861334050819</v>
      </c>
      <c r="F147" s="23">
        <f t="shared" si="11"/>
        <v>25532.59090439697</v>
      </c>
    </row>
    <row r="148" spans="1:6" x14ac:dyDescent="0.25">
      <c r="A148">
        <v>137</v>
      </c>
      <c r="C148" s="5">
        <f t="shared" si="8"/>
        <v>-178.07976812317546</v>
      </c>
      <c r="D148" s="5">
        <f t="shared" si="9"/>
        <v>-67.84280689344142</v>
      </c>
      <c r="E148" s="5">
        <f t="shared" si="10"/>
        <v>-110.23696122973402</v>
      </c>
      <c r="F148" s="23">
        <f t="shared" si="11"/>
        <v>25464.748097503529</v>
      </c>
    </row>
    <row r="149" spans="1:6" x14ac:dyDescent="0.25">
      <c r="A149">
        <v>138</v>
      </c>
      <c r="C149" s="5">
        <f t="shared" si="8"/>
        <v>-178.07976812317546</v>
      </c>
      <c r="D149" s="5">
        <f t="shared" si="9"/>
        <v>-68.135718212203855</v>
      </c>
      <c r="E149" s="5">
        <f t="shared" si="10"/>
        <v>-109.9440499109716</v>
      </c>
      <c r="F149" s="23">
        <f t="shared" si="11"/>
        <v>25396.612379291324</v>
      </c>
    </row>
    <row r="150" spans="1:6" x14ac:dyDescent="0.25">
      <c r="A150">
        <v>139</v>
      </c>
      <c r="C150" s="5">
        <f t="shared" si="8"/>
        <v>-178.07976812317546</v>
      </c>
      <c r="D150" s="5">
        <f t="shared" si="9"/>
        <v>-68.429894175585048</v>
      </c>
      <c r="E150" s="5">
        <f t="shared" si="10"/>
        <v>-109.64987394759041</v>
      </c>
      <c r="F150" s="23">
        <f t="shared" si="11"/>
        <v>25328.18248511574</v>
      </c>
    </row>
    <row r="151" spans="1:6" x14ac:dyDescent="0.25">
      <c r="A151">
        <v>140</v>
      </c>
      <c r="C151" s="5">
        <f t="shared" si="8"/>
        <v>-178.07976812317546</v>
      </c>
      <c r="D151" s="5">
        <f t="shared" si="9"/>
        <v>-68.725340243688137</v>
      </c>
      <c r="E151" s="5">
        <f t="shared" si="10"/>
        <v>-109.3544278794873</v>
      </c>
      <c r="F151" s="23">
        <f t="shared" si="11"/>
        <v>25259.457144872053</v>
      </c>
    </row>
    <row r="152" spans="1:6" x14ac:dyDescent="0.25">
      <c r="A152">
        <v>141</v>
      </c>
      <c r="C152" s="5">
        <f t="shared" si="8"/>
        <v>-178.07976812317546</v>
      </c>
      <c r="D152" s="5">
        <f t="shared" si="9"/>
        <v>-69.022061900190252</v>
      </c>
      <c r="E152" s="5">
        <f t="shared" si="10"/>
        <v>-109.05770622298519</v>
      </c>
      <c r="F152" s="23">
        <f t="shared" si="11"/>
        <v>25190.435082971861</v>
      </c>
    </row>
    <row r="153" spans="1:6" x14ac:dyDescent="0.25">
      <c r="A153">
        <v>142</v>
      </c>
      <c r="C153" s="5">
        <f t="shared" si="8"/>
        <v>-178.07976812317546</v>
      </c>
      <c r="D153" s="5">
        <f t="shared" si="9"/>
        <v>-69.32006465244433</v>
      </c>
      <c r="E153" s="5">
        <f t="shared" si="10"/>
        <v>-108.75970347073113</v>
      </c>
      <c r="F153" s="23">
        <f t="shared" si="11"/>
        <v>25121.115018319415</v>
      </c>
    </row>
    <row r="154" spans="1:6" x14ac:dyDescent="0.25">
      <c r="A154">
        <v>143</v>
      </c>
      <c r="C154" s="5">
        <f t="shared" si="8"/>
        <v>-178.07976812317546</v>
      </c>
      <c r="D154" s="5">
        <f t="shared" si="9"/>
        <v>-69.619354031581253</v>
      </c>
      <c r="E154" s="5">
        <f t="shared" si="10"/>
        <v>-108.46041409159419</v>
      </c>
      <c r="F154" s="23">
        <f t="shared" si="11"/>
        <v>25051.495664287835</v>
      </c>
    </row>
    <row r="155" spans="1:6" x14ac:dyDescent="0.25">
      <c r="A155">
        <v>144</v>
      </c>
      <c r="C155" s="5">
        <f t="shared" si="8"/>
        <v>-178.07976812317546</v>
      </c>
      <c r="D155" s="5">
        <f t="shared" si="9"/>
        <v>-69.919935592612617</v>
      </c>
      <c r="E155" s="5">
        <f t="shared" si="10"/>
        <v>-108.15983253056282</v>
      </c>
      <c r="F155" s="23">
        <f t="shared" si="11"/>
        <v>24981.575728695221</v>
      </c>
    </row>
    <row r="156" spans="1:6" x14ac:dyDescent="0.25">
      <c r="A156">
        <v>145</v>
      </c>
      <c r="C156" s="5">
        <f t="shared" si="8"/>
        <v>-178.07976812317546</v>
      </c>
      <c r="D156" s="5">
        <f t="shared" si="9"/>
        <v>-70.221814914533709</v>
      </c>
      <c r="E156" s="5">
        <f t="shared" si="10"/>
        <v>-107.85795320864175</v>
      </c>
      <c r="F156" s="23">
        <f t="shared" si="11"/>
        <v>24911.353913780687</v>
      </c>
    </row>
    <row r="157" spans="1:6" x14ac:dyDescent="0.25">
      <c r="A157">
        <v>146</v>
      </c>
      <c r="C157" s="5">
        <f t="shared" si="8"/>
        <v>-178.07976812317546</v>
      </c>
      <c r="D157" s="5">
        <f t="shared" si="9"/>
        <v>-70.524997600427213</v>
      </c>
      <c r="E157" s="5">
        <f t="shared" si="10"/>
        <v>-107.55477052274823</v>
      </c>
      <c r="F157" s="23">
        <f t="shared" si="11"/>
        <v>24840.82891618026</v>
      </c>
    </row>
    <row r="158" spans="1:6" x14ac:dyDescent="0.25">
      <c r="A158">
        <v>147</v>
      </c>
      <c r="C158" s="5">
        <f t="shared" si="8"/>
        <v>-178.07976812317546</v>
      </c>
      <c r="D158" s="5">
        <f t="shared" si="9"/>
        <v>-70.829489277567063</v>
      </c>
      <c r="E158" s="5">
        <f t="shared" si="10"/>
        <v>-107.25027884560839</v>
      </c>
      <c r="F158" s="23">
        <f t="shared" si="11"/>
        <v>24769.999426902694</v>
      </c>
    </row>
    <row r="159" spans="1:6" x14ac:dyDescent="0.25">
      <c r="A159">
        <v>148</v>
      </c>
      <c r="C159" s="5">
        <f t="shared" si="8"/>
        <v>-178.07976812317546</v>
      </c>
      <c r="D159" s="5">
        <f t="shared" si="9"/>
        <v>-71.135295597522955</v>
      </c>
      <c r="E159" s="5">
        <f t="shared" si="10"/>
        <v>-106.94447252565251</v>
      </c>
      <c r="F159" s="23">
        <f t="shared" si="11"/>
        <v>24698.86413130517</v>
      </c>
    </row>
    <row r="160" spans="1:6" x14ac:dyDescent="0.25">
      <c r="A160">
        <v>149</v>
      </c>
      <c r="C160" s="5">
        <f t="shared" si="8"/>
        <v>-178.07976812317546</v>
      </c>
      <c r="D160" s="5">
        <f t="shared" si="9"/>
        <v>-71.442422236265259</v>
      </c>
      <c r="E160" s="5">
        <f t="shared" si="10"/>
        <v>-106.63734588691018</v>
      </c>
      <c r="F160" s="23">
        <f t="shared" si="11"/>
        <v>24627.421709068905</v>
      </c>
    </row>
    <row r="161" spans="1:6" x14ac:dyDescent="0.25">
      <c r="A161">
        <v>150</v>
      </c>
      <c r="C161" s="5">
        <f t="shared" si="8"/>
        <v>-178.07976812317546</v>
      </c>
      <c r="D161" s="5">
        <f t="shared" si="9"/>
        <v>-71.750874894270339</v>
      </c>
      <c r="E161" s="5">
        <f t="shared" si="10"/>
        <v>-106.3288932289051</v>
      </c>
      <c r="F161" s="23">
        <f t="shared" si="11"/>
        <v>24555.670834174634</v>
      </c>
    </row>
    <row r="162" spans="1:6" x14ac:dyDescent="0.25">
      <c r="A162">
        <v>151</v>
      </c>
      <c r="C162" s="5">
        <f t="shared" si="8"/>
        <v>-178.07976812317546</v>
      </c>
      <c r="D162" s="5">
        <f t="shared" si="9"/>
        <v>-72.060659296626355</v>
      </c>
      <c r="E162" s="5">
        <f t="shared" si="10"/>
        <v>-106.0191088265491</v>
      </c>
      <c r="F162" s="23">
        <f t="shared" si="11"/>
        <v>24483.610174878009</v>
      </c>
    </row>
    <row r="163" spans="1:6" x14ac:dyDescent="0.25">
      <c r="A163">
        <v>152</v>
      </c>
      <c r="C163" s="5">
        <f t="shared" si="8"/>
        <v>-178.07976812317546</v>
      </c>
      <c r="D163" s="5">
        <f t="shared" si="9"/>
        <v>-72.371781193139526</v>
      </c>
      <c r="E163" s="5">
        <f t="shared" si="10"/>
        <v>-105.70798693003593</v>
      </c>
      <c r="F163" s="23">
        <f t="shared" si="11"/>
        <v>24411.238393684871</v>
      </c>
    </row>
    <row r="164" spans="1:6" x14ac:dyDescent="0.25">
      <c r="A164">
        <v>153</v>
      </c>
      <c r="C164" s="5">
        <f t="shared" si="8"/>
        <v>-178.07976812317546</v>
      </c>
      <c r="D164" s="5">
        <f t="shared" si="9"/>
        <v>-72.684246358440916</v>
      </c>
      <c r="E164" s="5">
        <f t="shared" si="10"/>
        <v>-105.39552176473453</v>
      </c>
      <c r="F164" s="23">
        <f t="shared" si="11"/>
        <v>24338.554147326431</v>
      </c>
    </row>
    <row r="165" spans="1:6" x14ac:dyDescent="0.25">
      <c r="A165">
        <v>154</v>
      </c>
      <c r="C165" s="5">
        <f t="shared" si="8"/>
        <v>-178.07976812317546</v>
      </c>
      <c r="D165" s="5">
        <f t="shared" si="9"/>
        <v>-72.998060592093481</v>
      </c>
      <c r="E165" s="5">
        <f t="shared" si="10"/>
        <v>-105.08170753108199</v>
      </c>
      <c r="F165" s="23">
        <f t="shared" si="11"/>
        <v>24265.556086734337</v>
      </c>
    </row>
    <row r="166" spans="1:6" x14ac:dyDescent="0.25">
      <c r="A166">
        <v>155</v>
      </c>
      <c r="C166" s="5">
        <f t="shared" si="8"/>
        <v>-178.07976812317546</v>
      </c>
      <c r="D166" s="5">
        <f t="shared" si="9"/>
        <v>-73.313229718699844</v>
      </c>
      <c r="E166" s="5">
        <f t="shared" si="10"/>
        <v>-104.76653840447561</v>
      </c>
      <c r="F166" s="23">
        <f t="shared" si="11"/>
        <v>24192.242857015637</v>
      </c>
    </row>
    <row r="167" spans="1:6" x14ac:dyDescent="0.25">
      <c r="A167">
        <v>156</v>
      </c>
      <c r="C167" s="5">
        <f t="shared" si="8"/>
        <v>-178.07976812317546</v>
      </c>
      <c r="D167" s="5">
        <f t="shared" si="9"/>
        <v>-73.629759588010316</v>
      </c>
      <c r="E167" s="5">
        <f t="shared" si="10"/>
        <v>-104.45000853516513</v>
      </c>
      <c r="F167" s="23">
        <f t="shared" si="11"/>
        <v>24118.613097427628</v>
      </c>
    </row>
    <row r="168" spans="1:6" x14ac:dyDescent="0.25">
      <c r="A168">
        <v>157</v>
      </c>
      <c r="C168" s="5">
        <f t="shared" si="8"/>
        <v>-178.07976812317546</v>
      </c>
      <c r="D168" s="5">
        <f t="shared" si="9"/>
        <v>-73.947656075031546</v>
      </c>
      <c r="E168" s="5">
        <f t="shared" si="10"/>
        <v>-104.13211204814388</v>
      </c>
      <c r="F168" s="23">
        <f t="shared" si="11"/>
        <v>24044.665441352598</v>
      </c>
    </row>
    <row r="169" spans="1:6" x14ac:dyDescent="0.25">
      <c r="A169">
        <v>158</v>
      </c>
      <c r="C169" s="5">
        <f t="shared" si="8"/>
        <v>-178.07976812317546</v>
      </c>
      <c r="D169" s="5">
        <f t="shared" si="9"/>
        <v>-74.266925080135522</v>
      </c>
      <c r="E169" s="5">
        <f t="shared" si="10"/>
        <v>-103.81284304303992</v>
      </c>
      <c r="F169" s="23">
        <f t="shared" si="11"/>
        <v>23970.39851627246</v>
      </c>
    </row>
    <row r="170" spans="1:6" x14ac:dyDescent="0.25">
      <c r="A170">
        <v>159</v>
      </c>
      <c r="C170" s="5">
        <f t="shared" si="8"/>
        <v>-178.07976812317546</v>
      </c>
      <c r="D170" s="5">
        <f t="shared" si="9"/>
        <v>-74.587572529169009</v>
      </c>
      <c r="E170" s="5">
        <f t="shared" si="10"/>
        <v>-103.49219559400643</v>
      </c>
      <c r="F170" s="23">
        <f t="shared" si="11"/>
        <v>23895.81094374329</v>
      </c>
    </row>
    <row r="171" spans="1:6" x14ac:dyDescent="0.25">
      <c r="A171">
        <v>160</v>
      </c>
      <c r="C171" s="5">
        <f t="shared" si="8"/>
        <v>-178.07976812317546</v>
      </c>
      <c r="D171" s="5">
        <f t="shared" si="9"/>
        <v>-74.909604373563695</v>
      </c>
      <c r="E171" s="5">
        <f t="shared" si="10"/>
        <v>-103.17016374961176</v>
      </c>
      <c r="F171" s="23">
        <f t="shared" si="11"/>
        <v>23820.901339369728</v>
      </c>
    </row>
    <row r="172" spans="1:6" x14ac:dyDescent="0.25">
      <c r="A172">
        <v>161</v>
      </c>
      <c r="C172" s="5">
        <f t="shared" si="8"/>
        <v>-178.07976812317546</v>
      </c>
      <c r="D172" s="5">
        <f t="shared" si="9"/>
        <v>-75.233026590446556</v>
      </c>
      <c r="E172" s="5">
        <f t="shared" si="10"/>
        <v>-102.8467415327289</v>
      </c>
      <c r="F172" s="23">
        <f t="shared" si="11"/>
        <v>23745.668312779282</v>
      </c>
    </row>
    <row r="173" spans="1:6" x14ac:dyDescent="0.25">
      <c r="A173">
        <v>162</v>
      </c>
      <c r="C173" s="5">
        <f t="shared" si="8"/>
        <v>-178.07976812317546</v>
      </c>
      <c r="D173" s="5">
        <f t="shared" si="9"/>
        <v>-75.557845182750796</v>
      </c>
      <c r="E173" s="5">
        <f t="shared" si="10"/>
        <v>-102.52192294042466</v>
      </c>
      <c r="F173" s="23">
        <f t="shared" si="11"/>
        <v>23670.110467596533</v>
      </c>
    </row>
    <row r="174" spans="1:6" x14ac:dyDescent="0.25">
      <c r="A174">
        <v>163</v>
      </c>
      <c r="C174" s="5">
        <f t="shared" si="8"/>
        <v>-178.07976812317546</v>
      </c>
      <c r="D174" s="5">
        <f t="shared" si="9"/>
        <v>-75.88406617932732</v>
      </c>
      <c r="E174" s="5">
        <f t="shared" si="10"/>
        <v>-102.19570194384812</v>
      </c>
      <c r="F174" s="23">
        <f t="shared" si="11"/>
        <v>23594.226401417207</v>
      </c>
    </row>
    <row r="175" spans="1:6" x14ac:dyDescent="0.25">
      <c r="A175">
        <v>164</v>
      </c>
      <c r="C175" s="5">
        <f t="shared" si="8"/>
        <v>-178.07976812317546</v>
      </c>
      <c r="D175" s="5">
        <f t="shared" si="9"/>
        <v>-76.211695635056572</v>
      </c>
      <c r="E175" s="5">
        <f t="shared" si="10"/>
        <v>-101.86807248811888</v>
      </c>
      <c r="F175" s="23">
        <f t="shared" si="11"/>
        <v>23518.014705782149</v>
      </c>
    </row>
    <row r="176" spans="1:6" x14ac:dyDescent="0.25">
      <c r="A176">
        <v>165</v>
      </c>
      <c r="C176" s="5">
        <f t="shared" si="8"/>
        <v>-178.07976812317546</v>
      </c>
      <c r="D176" s="5">
        <f t="shared" si="9"/>
        <v>-76.540739630960942</v>
      </c>
      <c r="E176" s="5">
        <f t="shared" si="10"/>
        <v>-101.53902849221453</v>
      </c>
      <c r="F176" s="23">
        <f t="shared" si="11"/>
        <v>23441.473966151189</v>
      </c>
    </row>
    <row r="177" spans="1:6" x14ac:dyDescent="0.25">
      <c r="A177">
        <v>166</v>
      </c>
      <c r="C177" s="5">
        <f t="shared" si="8"/>
        <v>-178.07976812317546</v>
      </c>
      <c r="D177" s="5">
        <f t="shared" si="9"/>
        <v>-76.871204274317606</v>
      </c>
      <c r="E177" s="5">
        <f t="shared" si="10"/>
        <v>-101.20856384885782</v>
      </c>
      <c r="F177" s="23">
        <f t="shared" si="11"/>
        <v>23364.602761876871</v>
      </c>
    </row>
    <row r="178" spans="1:6" x14ac:dyDescent="0.25">
      <c r="A178">
        <v>167</v>
      </c>
      <c r="C178" s="5">
        <f t="shared" si="8"/>
        <v>-178.07976812317546</v>
      </c>
      <c r="D178" s="5">
        <f t="shared" si="9"/>
        <v>-77.203095698771975</v>
      </c>
      <c r="E178" s="5">
        <f t="shared" si="10"/>
        <v>-100.87667242440348</v>
      </c>
      <c r="F178" s="23">
        <f t="shared" si="11"/>
        <v>23287.399666178098</v>
      </c>
    </row>
    <row r="179" spans="1:6" x14ac:dyDescent="0.25">
      <c r="A179">
        <v>168</v>
      </c>
      <c r="C179" s="5">
        <f t="shared" si="8"/>
        <v>-178.07976812317546</v>
      </c>
      <c r="D179" s="5">
        <f t="shared" si="9"/>
        <v>-77.53642006445142</v>
      </c>
      <c r="E179" s="5">
        <f t="shared" si="10"/>
        <v>-100.54334805872402</v>
      </c>
      <c r="F179" s="23">
        <f t="shared" si="11"/>
        <v>23209.863246113648</v>
      </c>
    </row>
    <row r="180" spans="1:6" x14ac:dyDescent="0.25">
      <c r="A180">
        <v>169</v>
      </c>
      <c r="C180" s="5">
        <f t="shared" si="8"/>
        <v>-178.07976812317546</v>
      </c>
      <c r="D180" s="5">
        <f t="shared" si="9"/>
        <v>-77.871183558079679</v>
      </c>
      <c r="E180" s="5">
        <f t="shared" si="10"/>
        <v>-100.20858456509576</v>
      </c>
      <c r="F180" s="23">
        <f t="shared" si="11"/>
        <v>23131.992062555568</v>
      </c>
    </row>
    <row r="181" spans="1:6" x14ac:dyDescent="0.25">
      <c r="A181">
        <v>170</v>
      </c>
      <c r="C181" s="5">
        <f t="shared" si="8"/>
        <v>-178.07976812317546</v>
      </c>
      <c r="D181" s="5">
        <f t="shared" si="9"/>
        <v>-78.207392393091695</v>
      </c>
      <c r="E181" s="5">
        <f t="shared" si="10"/>
        <v>-99.872375730083746</v>
      </c>
      <c r="F181" s="23">
        <f t="shared" si="11"/>
        <v>23053.784670162477</v>
      </c>
    </row>
    <row r="182" spans="1:6" x14ac:dyDescent="0.25">
      <c r="A182">
        <v>171</v>
      </c>
      <c r="C182" s="5">
        <f t="shared" si="8"/>
        <v>-178.07976812317546</v>
      </c>
      <c r="D182" s="5">
        <f t="shared" si="9"/>
        <v>-78.545052809748867</v>
      </c>
      <c r="E182" s="5">
        <f t="shared" si="10"/>
        <v>-99.534715313426574</v>
      </c>
      <c r="F182" s="23">
        <f t="shared" si="11"/>
        <v>22975.239617352727</v>
      </c>
    </row>
    <row r="183" spans="1:6" x14ac:dyDescent="0.25">
      <c r="A183">
        <v>172</v>
      </c>
      <c r="C183" s="5">
        <f t="shared" si="8"/>
        <v>-178.07976812317546</v>
      </c>
      <c r="D183" s="5">
        <f t="shared" si="9"/>
        <v>-78.884171075254969</v>
      </c>
      <c r="E183" s="5">
        <f t="shared" si="10"/>
        <v>-99.195597047920486</v>
      </c>
      <c r="F183" s="23">
        <f t="shared" si="11"/>
        <v>22896.35544627747</v>
      </c>
    </row>
    <row r="184" spans="1:6" x14ac:dyDescent="0.25">
      <c r="A184">
        <v>173</v>
      </c>
      <c r="C184" s="5">
        <f t="shared" si="8"/>
        <v>-178.07976812317546</v>
      </c>
      <c r="D184" s="5">
        <f t="shared" si="9"/>
        <v>-79.224753483872377</v>
      </c>
      <c r="E184" s="5">
        <f t="shared" si="10"/>
        <v>-98.855014639303093</v>
      </c>
      <c r="F184" s="23">
        <f t="shared" si="11"/>
        <v>22817.130692793598</v>
      </c>
    </row>
    <row r="185" spans="1:6" x14ac:dyDescent="0.25">
      <c r="A185">
        <v>174</v>
      </c>
      <c r="C185" s="5">
        <f t="shared" si="8"/>
        <v>-178.07976812317546</v>
      </c>
      <c r="D185" s="5">
        <f t="shared" si="9"/>
        <v>-79.566806357038999</v>
      </c>
      <c r="E185" s="5">
        <f t="shared" si="10"/>
        <v>-98.512961766136442</v>
      </c>
      <c r="F185" s="23">
        <f t="shared" si="11"/>
        <v>22737.563886436561</v>
      </c>
    </row>
    <row r="186" spans="1:6" x14ac:dyDescent="0.25">
      <c r="A186">
        <v>175</v>
      </c>
      <c r="C186" s="5">
        <f t="shared" si="8"/>
        <v>-178.07976812317546</v>
      </c>
      <c r="D186" s="5">
        <f t="shared" si="9"/>
        <v>-79.910336043485515</v>
      </c>
      <c r="E186" s="5">
        <f t="shared" si="10"/>
        <v>-98.16943207968994</v>
      </c>
      <c r="F186" s="23">
        <f t="shared" si="11"/>
        <v>22657.653550393075</v>
      </c>
    </row>
    <row r="187" spans="1:6" x14ac:dyDescent="0.25">
      <c r="A187">
        <v>176</v>
      </c>
      <c r="C187" s="5">
        <f t="shared" si="8"/>
        <v>-178.07976812317546</v>
      </c>
      <c r="D187" s="5">
        <f t="shared" si="9"/>
        <v>-80.255348919353267</v>
      </c>
      <c r="E187" s="5">
        <f t="shared" si="10"/>
        <v>-97.824419203822202</v>
      </c>
      <c r="F187" s="23">
        <f t="shared" si="11"/>
        <v>22577.398201473723</v>
      </c>
    </row>
    <row r="188" spans="1:6" x14ac:dyDescent="0.25">
      <c r="A188">
        <v>177</v>
      </c>
      <c r="C188" s="5">
        <f t="shared" si="8"/>
        <v>-178.07976812317546</v>
      </c>
      <c r="D188" s="5">
        <f t="shared" si="9"/>
        <v>-80.601851388312568</v>
      </c>
      <c r="E188" s="5">
        <f t="shared" si="10"/>
        <v>-97.477916734862887</v>
      </c>
      <c r="F188" s="23">
        <f t="shared" si="11"/>
        <v>22496.796350085409</v>
      </c>
    </row>
    <row r="189" spans="1:6" x14ac:dyDescent="0.25">
      <c r="A189">
        <v>178</v>
      </c>
      <c r="C189" s="5">
        <f t="shared" si="8"/>
        <v>-178.07976812317546</v>
      </c>
      <c r="D189" s="5">
        <f t="shared" si="9"/>
        <v>-80.949849881681615</v>
      </c>
      <c r="E189" s="5">
        <f t="shared" si="10"/>
        <v>-97.12991824149384</v>
      </c>
      <c r="F189" s="23">
        <f t="shared" si="11"/>
        <v>22415.846500203726</v>
      </c>
    </row>
    <row r="190" spans="1:6" x14ac:dyDescent="0.25">
      <c r="A190">
        <v>179</v>
      </c>
      <c r="C190" s="5">
        <f t="shared" si="8"/>
        <v>-178.07976812317546</v>
      </c>
      <c r="D190" s="5">
        <f t="shared" si="9"/>
        <v>-81.299350858545765</v>
      </c>
      <c r="E190" s="5">
        <f t="shared" si="10"/>
        <v>-96.780417264629691</v>
      </c>
      <c r="F190" s="23">
        <f t="shared" si="11"/>
        <v>22334.547149345181</v>
      </c>
    </row>
    <row r="191" spans="1:6" x14ac:dyDescent="0.25">
      <c r="A191">
        <v>180</v>
      </c>
      <c r="C191" s="5">
        <f t="shared" si="8"/>
        <v>-178.07976812317546</v>
      </c>
      <c r="D191" s="5">
        <f t="shared" si="9"/>
        <v>-81.65036080587754</v>
      </c>
      <c r="E191" s="5">
        <f t="shared" si="10"/>
        <v>-96.429407317297915</v>
      </c>
      <c r="F191" s="23">
        <f t="shared" si="11"/>
        <v>22252.896788539303</v>
      </c>
    </row>
    <row r="192" spans="1:6" x14ac:dyDescent="0.25">
      <c r="A192">
        <v>181</v>
      </c>
      <c r="C192" s="5">
        <f t="shared" si="8"/>
        <v>-178.07976812317546</v>
      </c>
      <c r="D192" s="5">
        <f t="shared" si="9"/>
        <v>-82.002886238656927</v>
      </c>
      <c r="E192" s="5">
        <f t="shared" si="10"/>
        <v>-96.076881884518528</v>
      </c>
      <c r="F192" s="23">
        <f t="shared" si="11"/>
        <v>22170.893902300646</v>
      </c>
    </row>
    <row r="193" spans="1:6" x14ac:dyDescent="0.25">
      <c r="A193">
        <v>182</v>
      </c>
      <c r="C193" s="5">
        <f t="shared" si="8"/>
        <v>-178.07976812317546</v>
      </c>
      <c r="D193" s="5">
        <f t="shared" si="9"/>
        <v>-82.356933699992325</v>
      </c>
      <c r="E193" s="5">
        <f t="shared" si="10"/>
        <v>-95.722834423183116</v>
      </c>
      <c r="F193" s="23">
        <f t="shared" si="11"/>
        <v>22088.536968600652</v>
      </c>
    </row>
    <row r="194" spans="1:6" x14ac:dyDescent="0.25">
      <c r="A194">
        <v>183</v>
      </c>
      <c r="C194" s="5">
        <f t="shared" si="8"/>
        <v>-178.07976812317546</v>
      </c>
      <c r="D194" s="5">
        <f t="shared" si="9"/>
        <v>-82.712509761242032</v>
      </c>
      <c r="E194" s="5">
        <f t="shared" si="10"/>
        <v>-95.367258361933395</v>
      </c>
      <c r="F194" s="23">
        <f t="shared" si="11"/>
        <v>22005.824458839412</v>
      </c>
    </row>
    <row r="195" spans="1:6" x14ac:dyDescent="0.25">
      <c r="A195">
        <v>184</v>
      </c>
      <c r="C195" s="5">
        <f t="shared" si="8"/>
        <v>-178.07976812317546</v>
      </c>
      <c r="D195" s="5">
        <f t="shared" si="9"/>
        <v>-83.069621022136204</v>
      </c>
      <c r="E195" s="5">
        <f t="shared" si="10"/>
        <v>-95.010147101039237</v>
      </c>
      <c r="F195" s="23">
        <f t="shared" si="11"/>
        <v>21922.754837817276</v>
      </c>
    </row>
    <row r="196" spans="1:6" x14ac:dyDescent="0.25">
      <c r="A196">
        <v>185</v>
      </c>
      <c r="C196" s="5">
        <f t="shared" si="8"/>
        <v>-178.07976812317546</v>
      </c>
      <c r="D196" s="5">
        <f t="shared" si="9"/>
        <v>-83.428274110899267</v>
      </c>
      <c r="E196" s="5">
        <f t="shared" si="10"/>
        <v>-94.651494012276174</v>
      </c>
      <c r="F196" s="23">
        <f t="shared" si="11"/>
        <v>21839.326563706378</v>
      </c>
    </row>
    <row r="197" spans="1:6" x14ac:dyDescent="0.25">
      <c r="A197">
        <v>186</v>
      </c>
      <c r="C197" s="5">
        <f t="shared" si="8"/>
        <v>-178.07976812317546</v>
      </c>
      <c r="D197" s="5">
        <f t="shared" si="9"/>
        <v>-83.788475684373083</v>
      </c>
      <c r="E197" s="5">
        <f t="shared" si="10"/>
        <v>-94.291292438802373</v>
      </c>
      <c r="F197" s="23">
        <f t="shared" si="11"/>
        <v>21755.538088022004</v>
      </c>
    </row>
    <row r="198" spans="1:6" x14ac:dyDescent="0.25">
      <c r="A198">
        <v>187</v>
      </c>
      <c r="C198" s="5">
        <f t="shared" si="8"/>
        <v>-178.07976812317546</v>
      </c>
      <c r="D198" s="5">
        <f t="shared" si="9"/>
        <v>-84.150232428140356</v>
      </c>
      <c r="E198" s="5">
        <f t="shared" si="10"/>
        <v>-93.929535695035113</v>
      </c>
      <c r="F198" s="23">
        <f t="shared" si="11"/>
        <v>21671.387855593865</v>
      </c>
    </row>
    <row r="199" spans="1:6" x14ac:dyDescent="0.25">
      <c r="A199">
        <v>188</v>
      </c>
      <c r="C199" s="5">
        <f t="shared" si="8"/>
        <v>-178.07976812317546</v>
      </c>
      <c r="D199" s="5">
        <f t="shared" si="9"/>
        <v>-84.513551056648851</v>
      </c>
      <c r="E199" s="5">
        <f t="shared" si="10"/>
        <v>-93.566217066526605</v>
      </c>
      <c r="F199" s="23">
        <f t="shared" si="11"/>
        <v>21586.874304537214</v>
      </c>
    </row>
    <row r="200" spans="1:6" x14ac:dyDescent="0.25">
      <c r="A200">
        <v>189</v>
      </c>
      <c r="C200" s="5">
        <f t="shared" si="8"/>
        <v>-178.07976812317546</v>
      </c>
      <c r="D200" s="5">
        <f t="shared" si="9"/>
        <v>-84.878438313335934</v>
      </c>
      <c r="E200" s="5">
        <f t="shared" si="10"/>
        <v>-93.201329809839521</v>
      </c>
      <c r="F200" s="23">
        <f t="shared" si="11"/>
        <v>21501.995866223879</v>
      </c>
    </row>
    <row r="201" spans="1:6" x14ac:dyDescent="0.25">
      <c r="A201">
        <v>190</v>
      </c>
      <c r="C201" s="5">
        <f t="shared" si="8"/>
        <v>-178.07976812317546</v>
      </c>
      <c r="D201" s="5">
        <f t="shared" si="9"/>
        <v>-85.244900970753775</v>
      </c>
      <c r="E201" s="5">
        <f t="shared" si="10"/>
        <v>-92.83486715242168</v>
      </c>
      <c r="F201" s="23">
        <f t="shared" si="11"/>
        <v>21416.750965253126</v>
      </c>
    </row>
    <row r="202" spans="1:6" x14ac:dyDescent="0.25">
      <c r="A202">
        <v>191</v>
      </c>
      <c r="C202" s="5">
        <f t="shared" si="8"/>
        <v>-178.07976812317546</v>
      </c>
      <c r="D202" s="5">
        <f t="shared" si="9"/>
        <v>-85.612945830694997</v>
      </c>
      <c r="E202" s="5">
        <f t="shared" si="10"/>
        <v>-92.466822292480444</v>
      </c>
      <c r="F202" s="23">
        <f t="shared" si="11"/>
        <v>21331.138019422433</v>
      </c>
    </row>
    <row r="203" spans="1:6" x14ac:dyDescent="0.25">
      <c r="A203">
        <v>192</v>
      </c>
      <c r="C203" s="5">
        <f t="shared" si="8"/>
        <v>-178.07976812317546</v>
      </c>
      <c r="D203" s="5">
        <f t="shared" si="9"/>
        <v>-85.98257972431901</v>
      </c>
      <c r="E203" s="5">
        <f t="shared" si="10"/>
        <v>-92.097188398856431</v>
      </c>
      <c r="F203" s="23">
        <f t="shared" si="11"/>
        <v>21245.155439698116</v>
      </c>
    </row>
    <row r="204" spans="1:6" x14ac:dyDescent="0.25">
      <c r="A204">
        <v>193</v>
      </c>
      <c r="C204" s="5">
        <f t="shared" ref="C204:C267" si="12">IF(A204&lt;=$C$4*$C$3,PMT($C$2/$C$4,$C$3*$C$4,$C$5),0)</f>
        <v>-178.07976812317546</v>
      </c>
      <c r="D204" s="5">
        <f t="shared" ref="D204:D267" si="13">IFERROR(PPMT($C$2/$C$4,A204,$C$3*$C$4,$C$5),0)</f>
        <v>-86.353809512278772</v>
      </c>
      <c r="E204" s="5">
        <f t="shared" ref="E204:E267" si="14">IFERROR(IPMT($C$2/$C$4,A204,$C$3*$C$4,$C$5),0)</f>
        <v>-91.725958610896683</v>
      </c>
      <c r="F204" s="23">
        <f t="shared" si="11"/>
        <v>21158.801630185837</v>
      </c>
    </row>
    <row r="205" spans="1:6" x14ac:dyDescent="0.25">
      <c r="A205">
        <v>194</v>
      </c>
      <c r="C205" s="5">
        <f t="shared" si="12"/>
        <v>-178.07976812317546</v>
      </c>
      <c r="D205" s="5">
        <f t="shared" si="13"/>
        <v>-86.72664208484801</v>
      </c>
      <c r="E205" s="5">
        <f t="shared" si="14"/>
        <v>-91.353126038327432</v>
      </c>
      <c r="F205" s="23">
        <f t="shared" ref="F205:F268" si="15">IFERROR(F204+D205,0)</f>
        <v>21072.074988100991</v>
      </c>
    </row>
    <row r="206" spans="1:6" x14ac:dyDescent="0.25">
      <c r="A206">
        <v>195</v>
      </c>
      <c r="C206" s="5">
        <f t="shared" si="12"/>
        <v>-178.07976812317546</v>
      </c>
      <c r="D206" s="5">
        <f t="shared" si="13"/>
        <v>-87.101084362049349</v>
      </c>
      <c r="E206" s="5">
        <f t="shared" si="14"/>
        <v>-90.978683761126092</v>
      </c>
      <c r="F206" s="23">
        <f t="shared" si="15"/>
        <v>20984.973903738941</v>
      </c>
    </row>
    <row r="207" spans="1:6" x14ac:dyDescent="0.25">
      <c r="A207">
        <v>196</v>
      </c>
      <c r="C207" s="5">
        <f t="shared" si="12"/>
        <v>-178.07976812317546</v>
      </c>
      <c r="D207" s="5">
        <f t="shared" si="13"/>
        <v>-87.477143293782504</v>
      </c>
      <c r="E207" s="5">
        <f t="shared" si="14"/>
        <v>-90.602624829392937</v>
      </c>
      <c r="F207" s="23">
        <f t="shared" si="15"/>
        <v>20897.496760445159</v>
      </c>
    </row>
    <row r="208" spans="1:6" x14ac:dyDescent="0.25">
      <c r="A208">
        <v>197</v>
      </c>
      <c r="C208" s="5">
        <f t="shared" si="12"/>
        <v>-178.07976812317546</v>
      </c>
      <c r="D208" s="5">
        <f t="shared" si="13"/>
        <v>-87.854825859953408</v>
      </c>
      <c r="E208" s="5">
        <f t="shared" si="14"/>
        <v>-90.224942263222047</v>
      </c>
      <c r="F208" s="23">
        <f t="shared" si="15"/>
        <v>20809.641934585205</v>
      </c>
    </row>
    <row r="209" spans="1:6" x14ac:dyDescent="0.25">
      <c r="A209">
        <v>198</v>
      </c>
      <c r="C209" s="5">
        <f t="shared" si="12"/>
        <v>-178.07976812317546</v>
      </c>
      <c r="D209" s="5">
        <f t="shared" si="13"/>
        <v>-88.23413907060376</v>
      </c>
      <c r="E209" s="5">
        <f t="shared" si="14"/>
        <v>-89.845629052571681</v>
      </c>
      <c r="F209" s="23">
        <f t="shared" si="15"/>
        <v>20721.407795514602</v>
      </c>
    </row>
    <row r="210" spans="1:6" x14ac:dyDescent="0.25">
      <c r="A210">
        <v>199</v>
      </c>
      <c r="C210" s="5">
        <f t="shared" si="12"/>
        <v>-178.07976812317546</v>
      </c>
      <c r="D210" s="5">
        <f t="shared" si="13"/>
        <v>-88.615089966041083</v>
      </c>
      <c r="E210" s="5">
        <f t="shared" si="14"/>
        <v>-89.464678157134358</v>
      </c>
      <c r="F210" s="23">
        <f t="shared" si="15"/>
        <v>20632.79270554856</v>
      </c>
    </row>
    <row r="211" spans="1:6" x14ac:dyDescent="0.25">
      <c r="A211">
        <v>200</v>
      </c>
      <c r="C211" s="5">
        <f t="shared" si="12"/>
        <v>-178.07976812317546</v>
      </c>
      <c r="D211" s="5">
        <f t="shared" si="13"/>
        <v>-88.997685616969477</v>
      </c>
      <c r="E211" s="5">
        <f t="shared" si="14"/>
        <v>-89.082082506205964</v>
      </c>
      <c r="F211" s="23">
        <f t="shared" si="15"/>
        <v>20543.795019931589</v>
      </c>
    </row>
    <row r="212" spans="1:6" x14ac:dyDescent="0.25">
      <c r="A212">
        <v>201</v>
      </c>
      <c r="C212" s="5">
        <f t="shared" si="12"/>
        <v>-178.07976812317546</v>
      </c>
      <c r="D212" s="5">
        <f t="shared" si="13"/>
        <v>-89.381933124620744</v>
      </c>
      <c r="E212" s="5">
        <f t="shared" si="14"/>
        <v>-88.697834998554711</v>
      </c>
      <c r="F212" s="23">
        <f t="shared" si="15"/>
        <v>20454.41308680697</v>
      </c>
    </row>
    <row r="213" spans="1:6" x14ac:dyDescent="0.25">
      <c r="A213">
        <v>202</v>
      </c>
      <c r="C213" s="5">
        <f t="shared" si="12"/>
        <v>-178.07976812317546</v>
      </c>
      <c r="D213" s="5">
        <f t="shared" si="13"/>
        <v>-89.767839620886306</v>
      </c>
      <c r="E213" s="5">
        <f t="shared" si="14"/>
        <v>-88.311928502289177</v>
      </c>
      <c r="F213" s="23">
        <f t="shared" si="15"/>
        <v>20364.645247186083</v>
      </c>
    </row>
    <row r="214" spans="1:6" x14ac:dyDescent="0.25">
      <c r="A214">
        <v>203</v>
      </c>
      <c r="C214" s="5">
        <f t="shared" si="12"/>
        <v>-178.07976812317546</v>
      </c>
      <c r="D214" s="5">
        <f t="shared" si="13"/>
        <v>-90.155412268449467</v>
      </c>
      <c r="E214" s="5">
        <f t="shared" si="14"/>
        <v>-87.924355854725974</v>
      </c>
      <c r="F214" s="23">
        <f t="shared" si="15"/>
        <v>20274.489834917633</v>
      </c>
    </row>
    <row r="215" spans="1:6" x14ac:dyDescent="0.25">
      <c r="A215">
        <v>204</v>
      </c>
      <c r="C215" s="5">
        <f t="shared" si="12"/>
        <v>-178.07976812317546</v>
      </c>
      <c r="D215" s="5">
        <f t="shared" si="13"/>
        <v>-90.544658260918482</v>
      </c>
      <c r="E215" s="5">
        <f t="shared" si="14"/>
        <v>-87.535109862256945</v>
      </c>
      <c r="F215" s="23">
        <f t="shared" si="15"/>
        <v>20183.945176656714</v>
      </c>
    </row>
    <row r="216" spans="1:6" x14ac:dyDescent="0.25">
      <c r="A216">
        <v>205</v>
      </c>
      <c r="C216" s="5">
        <f t="shared" si="12"/>
        <v>-178.07976812317546</v>
      </c>
      <c r="D216" s="5">
        <f t="shared" si="13"/>
        <v>-90.935584822959996</v>
      </c>
      <c r="E216" s="5">
        <f t="shared" si="14"/>
        <v>-87.144183300215431</v>
      </c>
      <c r="F216" s="23">
        <f t="shared" si="15"/>
        <v>20093.009591833754</v>
      </c>
    </row>
    <row r="217" spans="1:6" x14ac:dyDescent="0.25">
      <c r="A217">
        <v>206</v>
      </c>
      <c r="C217" s="5">
        <f t="shared" si="12"/>
        <v>-178.07976812317546</v>
      </c>
      <c r="D217" s="5">
        <f t="shared" si="13"/>
        <v>-91.328199210433155</v>
      </c>
      <c r="E217" s="5">
        <f t="shared" si="14"/>
        <v>-86.7515689127423</v>
      </c>
      <c r="F217" s="23">
        <f t="shared" si="15"/>
        <v>20001.681392623319</v>
      </c>
    </row>
    <row r="218" spans="1:6" x14ac:dyDescent="0.25">
      <c r="A218">
        <v>207</v>
      </c>
      <c r="C218" s="5">
        <f t="shared" si="12"/>
        <v>-178.07976812317546</v>
      </c>
      <c r="D218" s="5">
        <f t="shared" si="13"/>
        <v>-91.722508710524181</v>
      </c>
      <c r="E218" s="5">
        <f t="shared" si="14"/>
        <v>-86.357259412651246</v>
      </c>
      <c r="F218" s="23">
        <f t="shared" si="15"/>
        <v>19909.958883912794</v>
      </c>
    </row>
    <row r="219" spans="1:6" x14ac:dyDescent="0.25">
      <c r="A219">
        <v>208</v>
      </c>
      <c r="C219" s="5">
        <f t="shared" si="12"/>
        <v>-178.07976812317546</v>
      </c>
      <c r="D219" s="5">
        <f t="shared" si="13"/>
        <v>-92.118520641881872</v>
      </c>
      <c r="E219" s="5">
        <f t="shared" si="14"/>
        <v>-85.961247481293569</v>
      </c>
      <c r="F219" s="23">
        <f t="shared" si="15"/>
        <v>19817.840363270912</v>
      </c>
    </row>
    <row r="220" spans="1:6" x14ac:dyDescent="0.25">
      <c r="A220">
        <v>209</v>
      </c>
      <c r="C220" s="5">
        <f t="shared" si="12"/>
        <v>-178.07976812317546</v>
      </c>
      <c r="D220" s="5">
        <f t="shared" si="13"/>
        <v>-92.516242354753203</v>
      </c>
      <c r="E220" s="5">
        <f t="shared" si="14"/>
        <v>-85.563525768422252</v>
      </c>
      <c r="F220" s="23">
        <f t="shared" si="15"/>
        <v>19725.324120916161</v>
      </c>
    </row>
    <row r="221" spans="1:6" x14ac:dyDescent="0.25">
      <c r="A221">
        <v>210</v>
      </c>
      <c r="C221" s="5">
        <f t="shared" si="12"/>
        <v>-178.07976812317546</v>
      </c>
      <c r="D221" s="5">
        <f t="shared" si="13"/>
        <v>-92.915681231119848</v>
      </c>
      <c r="E221" s="5">
        <f t="shared" si="14"/>
        <v>-85.164086892055607</v>
      </c>
      <c r="F221" s="23">
        <f t="shared" si="15"/>
        <v>19632.408439685041</v>
      </c>
    </row>
    <row r="222" spans="1:6" x14ac:dyDescent="0.25">
      <c r="A222">
        <v>211</v>
      </c>
      <c r="C222" s="5">
        <f t="shared" si="12"/>
        <v>-178.07976812317546</v>
      </c>
      <c r="D222" s="5">
        <f t="shared" si="13"/>
        <v>-93.316844684835203</v>
      </c>
      <c r="E222" s="5">
        <f t="shared" si="14"/>
        <v>-84.762923438340252</v>
      </c>
      <c r="F222" s="23">
        <f t="shared" si="15"/>
        <v>19539.091595000205</v>
      </c>
    </row>
    <row r="223" spans="1:6" x14ac:dyDescent="0.25">
      <c r="A223">
        <v>212</v>
      </c>
      <c r="C223" s="5">
        <f t="shared" si="12"/>
        <v>-178.07976812317546</v>
      </c>
      <c r="D223" s="5">
        <f t="shared" si="13"/>
        <v>-93.719740161761976</v>
      </c>
      <c r="E223" s="5">
        <f t="shared" si="14"/>
        <v>-84.360027961413451</v>
      </c>
      <c r="F223" s="23">
        <f t="shared" si="15"/>
        <v>19445.371854838442</v>
      </c>
    </row>
    <row r="224" spans="1:6" x14ac:dyDescent="0.25">
      <c r="A224">
        <v>213</v>
      </c>
      <c r="C224" s="5">
        <f t="shared" si="12"/>
        <v>-178.07976812317546</v>
      </c>
      <c r="D224" s="5">
        <f t="shared" si="13"/>
        <v>-94.124375139910399</v>
      </c>
      <c r="E224" s="5">
        <f t="shared" si="14"/>
        <v>-83.955392983265057</v>
      </c>
      <c r="F224" s="23">
        <f t="shared" si="15"/>
        <v>19351.247479698533</v>
      </c>
    </row>
    <row r="225" spans="1:6" x14ac:dyDescent="0.25">
      <c r="A225">
        <v>214</v>
      </c>
      <c r="C225" s="5">
        <f t="shared" si="12"/>
        <v>-178.07976812317546</v>
      </c>
      <c r="D225" s="5">
        <f t="shared" si="13"/>
        <v>-94.530757129576969</v>
      </c>
      <c r="E225" s="5">
        <f t="shared" si="14"/>
        <v>-83.5490109935985</v>
      </c>
      <c r="F225" s="23">
        <f t="shared" si="15"/>
        <v>19256.716722568955</v>
      </c>
    </row>
    <row r="226" spans="1:6" x14ac:dyDescent="0.25">
      <c r="A226">
        <v>215</v>
      </c>
      <c r="C226" s="5">
        <f t="shared" si="12"/>
        <v>-178.07976812317546</v>
      </c>
      <c r="D226" s="5">
        <f t="shared" si="13"/>
        <v>-94.938893673483918</v>
      </c>
      <c r="E226" s="5">
        <f t="shared" si="14"/>
        <v>-83.140874449691538</v>
      </c>
      <c r="F226" s="23">
        <f t="shared" si="15"/>
        <v>19161.777828895472</v>
      </c>
    </row>
    <row r="227" spans="1:6" x14ac:dyDescent="0.25">
      <c r="A227">
        <v>216</v>
      </c>
      <c r="C227" s="5">
        <f t="shared" si="12"/>
        <v>-178.07976812317546</v>
      </c>
      <c r="D227" s="5">
        <f t="shared" si="13"/>
        <v>-95.348792346919168</v>
      </c>
      <c r="E227" s="5">
        <f t="shared" si="14"/>
        <v>-82.730975776256287</v>
      </c>
      <c r="F227" s="23">
        <f t="shared" si="15"/>
        <v>19066.429036548554</v>
      </c>
    </row>
    <row r="228" spans="1:6" x14ac:dyDescent="0.25">
      <c r="A228">
        <v>217</v>
      </c>
      <c r="C228" s="5">
        <f t="shared" si="12"/>
        <v>-178.07976812317546</v>
      </c>
      <c r="D228" s="5">
        <f t="shared" si="13"/>
        <v>-95.760460757876999</v>
      </c>
      <c r="E228" s="5">
        <f t="shared" si="14"/>
        <v>-82.319307365298457</v>
      </c>
      <c r="F228" s="23">
        <f t="shared" si="15"/>
        <v>18970.668575790678</v>
      </c>
    </row>
    <row r="229" spans="1:6" x14ac:dyDescent="0.25">
      <c r="A229">
        <v>218</v>
      </c>
      <c r="C229" s="5">
        <f t="shared" si="12"/>
        <v>-178.07976812317546</v>
      </c>
      <c r="D229" s="5">
        <f t="shared" si="13"/>
        <v>-96.17390654719911</v>
      </c>
      <c r="E229" s="5">
        <f t="shared" si="14"/>
        <v>-81.905861575976303</v>
      </c>
      <c r="F229" s="23">
        <f t="shared" si="15"/>
        <v>18874.494669243479</v>
      </c>
    </row>
    <row r="230" spans="1:6" x14ac:dyDescent="0.25">
      <c r="A230">
        <v>219</v>
      </c>
      <c r="C230" s="5">
        <f t="shared" si="12"/>
        <v>-178.07976812317546</v>
      </c>
      <c r="D230" s="5">
        <f t="shared" si="13"/>
        <v>-96.589137388716665</v>
      </c>
      <c r="E230" s="5">
        <f t="shared" si="14"/>
        <v>-81.49063073445879</v>
      </c>
      <c r="F230" s="23">
        <f t="shared" si="15"/>
        <v>18777.905531854762</v>
      </c>
    </row>
    <row r="231" spans="1:6" x14ac:dyDescent="0.25">
      <c r="A231">
        <v>220</v>
      </c>
      <c r="C231" s="5">
        <f t="shared" si="12"/>
        <v>-178.07976812317546</v>
      </c>
      <c r="D231" s="5">
        <f t="shared" si="13"/>
        <v>-97.006160989392455</v>
      </c>
      <c r="E231" s="5">
        <f t="shared" si="14"/>
        <v>-81.073607133783</v>
      </c>
      <c r="F231" s="23">
        <f t="shared" si="15"/>
        <v>18680.899370865369</v>
      </c>
    </row>
    <row r="232" spans="1:6" x14ac:dyDescent="0.25">
      <c r="A232">
        <v>221</v>
      </c>
      <c r="C232" s="5">
        <f t="shared" si="12"/>
        <v>-178.07976812317546</v>
      </c>
      <c r="D232" s="5">
        <f t="shared" si="13"/>
        <v>-97.42498508946413</v>
      </c>
      <c r="E232" s="5">
        <f t="shared" si="14"/>
        <v>-80.654783033711297</v>
      </c>
      <c r="F232" s="23">
        <f t="shared" si="15"/>
        <v>18583.474385775906</v>
      </c>
    </row>
    <row r="233" spans="1:6" x14ac:dyDescent="0.25">
      <c r="A233">
        <v>222</v>
      </c>
      <c r="C233" s="5">
        <f t="shared" si="12"/>
        <v>-178.07976812317546</v>
      </c>
      <c r="D233" s="5">
        <f t="shared" si="13"/>
        <v>-97.84561746258791</v>
      </c>
      <c r="E233" s="5">
        <f t="shared" si="14"/>
        <v>-80.234150660587517</v>
      </c>
      <c r="F233" s="23">
        <f t="shared" si="15"/>
        <v>18485.62876831332</v>
      </c>
    </row>
    <row r="234" spans="1:6" x14ac:dyDescent="0.25">
      <c r="A234">
        <v>223</v>
      </c>
      <c r="C234" s="5">
        <f t="shared" si="12"/>
        <v>-178.07976812317546</v>
      </c>
      <c r="D234" s="5">
        <f t="shared" si="13"/>
        <v>-98.268065915982646</v>
      </c>
      <c r="E234" s="5">
        <f t="shared" si="14"/>
        <v>-79.811702207192823</v>
      </c>
      <c r="F234" s="23">
        <f t="shared" si="15"/>
        <v>18387.360702397338</v>
      </c>
    </row>
    <row r="235" spans="1:6" x14ac:dyDescent="0.25">
      <c r="A235">
        <v>224</v>
      </c>
      <c r="C235" s="5">
        <f t="shared" si="12"/>
        <v>-178.07976812317546</v>
      </c>
      <c r="D235" s="5">
        <f t="shared" si="13"/>
        <v>-98.692338290574895</v>
      </c>
      <c r="E235" s="5">
        <f t="shared" si="14"/>
        <v>-79.38742983260056</v>
      </c>
      <c r="F235" s="23">
        <f t="shared" si="15"/>
        <v>18288.668364106765</v>
      </c>
    </row>
    <row r="236" spans="1:6" x14ac:dyDescent="0.25">
      <c r="A236">
        <v>225</v>
      </c>
      <c r="C236" s="5">
        <f t="shared" si="12"/>
        <v>-178.07976812317546</v>
      </c>
      <c r="D236" s="5">
        <f t="shared" si="13"/>
        <v>-99.11844246114444</v>
      </c>
      <c r="E236" s="5">
        <f t="shared" si="14"/>
        <v>-78.961325662031001</v>
      </c>
      <c r="F236" s="23">
        <f t="shared" si="15"/>
        <v>18189.549921645619</v>
      </c>
    </row>
    <row r="237" spans="1:6" x14ac:dyDescent="0.25">
      <c r="A237">
        <v>226</v>
      </c>
      <c r="C237" s="5">
        <f t="shared" si="12"/>
        <v>-178.07976812317546</v>
      </c>
      <c r="D237" s="5">
        <f t="shared" si="13"/>
        <v>-99.54638633647042</v>
      </c>
      <c r="E237" s="5">
        <f t="shared" si="14"/>
        <v>-78.533381786705007</v>
      </c>
      <c r="F237" s="23">
        <f t="shared" si="15"/>
        <v>18090.003535309148</v>
      </c>
    </row>
    <row r="238" spans="1:6" x14ac:dyDescent="0.25">
      <c r="A238">
        <v>227</v>
      </c>
      <c r="C238" s="5">
        <f t="shared" si="12"/>
        <v>-178.07976812317546</v>
      </c>
      <c r="D238" s="5">
        <f t="shared" si="13"/>
        <v>-99.976177859478156</v>
      </c>
      <c r="E238" s="5">
        <f t="shared" si="14"/>
        <v>-78.103590263697313</v>
      </c>
      <c r="F238" s="23">
        <f t="shared" si="15"/>
        <v>17990.027357449671</v>
      </c>
    </row>
    <row r="239" spans="1:6" x14ac:dyDescent="0.25">
      <c r="A239">
        <v>228</v>
      </c>
      <c r="C239" s="5">
        <f t="shared" si="12"/>
        <v>-178.07976812317546</v>
      </c>
      <c r="D239" s="5">
        <f t="shared" si="13"/>
        <v>-100.40782500738644</v>
      </c>
      <c r="E239" s="5">
        <f t="shared" si="14"/>
        <v>-77.671943115789006</v>
      </c>
      <c r="F239" s="23">
        <f t="shared" si="15"/>
        <v>17889.619532442284</v>
      </c>
    </row>
    <row r="240" spans="1:6" x14ac:dyDescent="0.25">
      <c r="A240">
        <v>229</v>
      </c>
      <c r="C240" s="5">
        <f t="shared" si="12"/>
        <v>-178.07976812317546</v>
      </c>
      <c r="D240" s="5">
        <f t="shared" si="13"/>
        <v>-100.84133579185585</v>
      </c>
      <c r="E240" s="5">
        <f t="shared" si="14"/>
        <v>-77.238432331319601</v>
      </c>
      <c r="F240" s="23">
        <f t="shared" si="15"/>
        <v>17788.77819665043</v>
      </c>
    </row>
    <row r="241" spans="1:6" x14ac:dyDescent="0.25">
      <c r="A241">
        <v>230</v>
      </c>
      <c r="C241" s="5">
        <f t="shared" si="12"/>
        <v>-178.07976812317546</v>
      </c>
      <c r="D241" s="5">
        <f t="shared" si="13"/>
        <v>-101.27671825913717</v>
      </c>
      <c r="E241" s="5">
        <f t="shared" si="14"/>
        <v>-76.803049864038272</v>
      </c>
      <c r="F241" s="23">
        <f t="shared" si="15"/>
        <v>17687.501478391292</v>
      </c>
    </row>
    <row r="242" spans="1:6" x14ac:dyDescent="0.25">
      <c r="A242">
        <v>231</v>
      </c>
      <c r="C242" s="5">
        <f t="shared" si="12"/>
        <v>-178.07976812317546</v>
      </c>
      <c r="D242" s="5">
        <f t="shared" si="13"/>
        <v>-101.71398049022099</v>
      </c>
      <c r="E242" s="5">
        <f t="shared" si="14"/>
        <v>-76.365787632954437</v>
      </c>
      <c r="F242" s="23">
        <f t="shared" si="15"/>
        <v>17585.78749790107</v>
      </c>
    </row>
    <row r="243" spans="1:6" x14ac:dyDescent="0.25">
      <c r="A243">
        <v>232</v>
      </c>
      <c r="C243" s="5">
        <f t="shared" si="12"/>
        <v>-178.07976812317546</v>
      </c>
      <c r="D243" s="5">
        <f t="shared" si="13"/>
        <v>-102.15313060098752</v>
      </c>
      <c r="E243" s="5">
        <f t="shared" si="14"/>
        <v>-75.926637522187917</v>
      </c>
      <c r="F243" s="23">
        <f t="shared" si="15"/>
        <v>17483.634367300081</v>
      </c>
    </row>
    <row r="244" spans="1:6" x14ac:dyDescent="0.25">
      <c r="A244">
        <v>233</v>
      </c>
      <c r="C244" s="5">
        <f t="shared" si="12"/>
        <v>-178.07976812317546</v>
      </c>
      <c r="D244" s="5">
        <f t="shared" si="13"/>
        <v>-102.59417674235729</v>
      </c>
      <c r="E244" s="5">
        <f t="shared" si="14"/>
        <v>-75.485591380818164</v>
      </c>
      <c r="F244" s="23">
        <f t="shared" si="15"/>
        <v>17381.040190557724</v>
      </c>
    </row>
    <row r="245" spans="1:6" x14ac:dyDescent="0.25">
      <c r="A245">
        <v>234</v>
      </c>
      <c r="C245" s="5">
        <f t="shared" si="12"/>
        <v>-178.07976812317546</v>
      </c>
      <c r="D245" s="5">
        <f t="shared" si="13"/>
        <v>-103.03712710044243</v>
      </c>
      <c r="E245" s="5">
        <f t="shared" si="14"/>
        <v>-75.042641022733022</v>
      </c>
      <c r="F245" s="23">
        <f t="shared" si="15"/>
        <v>17278.003063457279</v>
      </c>
    </row>
    <row r="246" spans="1:6" x14ac:dyDescent="0.25">
      <c r="A246">
        <v>235</v>
      </c>
      <c r="C246" s="5">
        <f t="shared" si="12"/>
        <v>-178.07976812317546</v>
      </c>
      <c r="D246" s="5">
        <f t="shared" si="13"/>
        <v>-103.48198989669858</v>
      </c>
      <c r="E246" s="5">
        <f t="shared" si="14"/>
        <v>-74.597778226476876</v>
      </c>
      <c r="F246" s="23">
        <f t="shared" si="15"/>
        <v>17174.52107356058</v>
      </c>
    </row>
    <row r="247" spans="1:6" x14ac:dyDescent="0.25">
      <c r="A247">
        <v>236</v>
      </c>
      <c r="C247" s="5">
        <f t="shared" si="12"/>
        <v>-178.07976812317546</v>
      </c>
      <c r="D247" s="5">
        <f t="shared" si="13"/>
        <v>-103.92877338807756</v>
      </c>
      <c r="E247" s="5">
        <f t="shared" si="14"/>
        <v>-74.150994735097882</v>
      </c>
      <c r="F247" s="23">
        <f t="shared" si="15"/>
        <v>17070.592300172502</v>
      </c>
    </row>
    <row r="248" spans="1:6" x14ac:dyDescent="0.25">
      <c r="A248">
        <v>237</v>
      </c>
      <c r="C248" s="5">
        <f t="shared" si="12"/>
        <v>-178.07976812317546</v>
      </c>
      <c r="D248" s="5">
        <f t="shared" si="13"/>
        <v>-104.37748586718061</v>
      </c>
      <c r="E248" s="5">
        <f t="shared" si="14"/>
        <v>-73.702282255994859</v>
      </c>
      <c r="F248" s="23">
        <f t="shared" si="15"/>
        <v>16966.21481430532</v>
      </c>
    </row>
    <row r="249" spans="1:6" x14ac:dyDescent="0.25">
      <c r="A249">
        <v>238</v>
      </c>
      <c r="C249" s="5">
        <f t="shared" si="12"/>
        <v>-178.07976812317546</v>
      </c>
      <c r="D249" s="5">
        <f t="shared" si="13"/>
        <v>-104.82813566241217</v>
      </c>
      <c r="E249" s="5">
        <f t="shared" si="14"/>
        <v>-73.251632460763304</v>
      </c>
      <c r="F249" s="23">
        <f t="shared" si="15"/>
        <v>16861.386678642906</v>
      </c>
    </row>
    <row r="250" spans="1:6" x14ac:dyDescent="0.25">
      <c r="A250">
        <v>239</v>
      </c>
      <c r="C250" s="5">
        <f t="shared" si="12"/>
        <v>-178.07976812317546</v>
      </c>
      <c r="D250" s="5">
        <f t="shared" si="13"/>
        <v>-105.28073113813461</v>
      </c>
      <c r="E250" s="5">
        <f t="shared" si="14"/>
        <v>-72.799036985040829</v>
      </c>
      <c r="F250" s="23">
        <f t="shared" si="15"/>
        <v>16756.105947504773</v>
      </c>
    </row>
    <row r="251" spans="1:6" x14ac:dyDescent="0.25">
      <c r="A251">
        <v>240</v>
      </c>
      <c r="C251" s="5">
        <f t="shared" si="12"/>
        <v>-178.07976812317546</v>
      </c>
      <c r="D251" s="5">
        <f t="shared" si="13"/>
        <v>-105.7352806948235</v>
      </c>
      <c r="E251" s="5">
        <f t="shared" si="14"/>
        <v>-72.34448742835194</v>
      </c>
      <c r="F251" s="23">
        <f t="shared" si="15"/>
        <v>16650.370666809951</v>
      </c>
    </row>
    <row r="252" spans="1:6" x14ac:dyDescent="0.25">
      <c r="A252">
        <v>241</v>
      </c>
      <c r="C252" s="5">
        <f t="shared" si="12"/>
        <v>-178.07976812317546</v>
      </c>
      <c r="D252" s="5">
        <f t="shared" si="13"/>
        <v>-106.1917927692234</v>
      </c>
      <c r="E252" s="5">
        <f t="shared" si="14"/>
        <v>-71.887975353952029</v>
      </c>
      <c r="F252" s="23">
        <f t="shared" si="15"/>
        <v>16544.178874040728</v>
      </c>
    </row>
    <row r="253" spans="1:6" x14ac:dyDescent="0.25">
      <c r="A253">
        <v>242</v>
      </c>
      <c r="C253" s="5">
        <f t="shared" si="12"/>
        <v>-178.07976812317546</v>
      </c>
      <c r="D253" s="5">
        <f t="shared" si="13"/>
        <v>-106.65027583450454</v>
      </c>
      <c r="E253" s="5">
        <f t="shared" si="14"/>
        <v>-71.429492288670914</v>
      </c>
      <c r="F253" s="23">
        <f t="shared" si="15"/>
        <v>16437.528598206223</v>
      </c>
    </row>
    <row r="254" spans="1:6" x14ac:dyDescent="0.25">
      <c r="A254">
        <v>243</v>
      </c>
      <c r="C254" s="5">
        <f t="shared" si="12"/>
        <v>-178.07976812317546</v>
      </c>
      <c r="D254" s="5">
        <f t="shared" si="13"/>
        <v>-107.11073840042</v>
      </c>
      <c r="E254" s="5">
        <f t="shared" si="14"/>
        <v>-70.969029722755437</v>
      </c>
      <c r="F254" s="23">
        <f t="shared" si="15"/>
        <v>16330.417859805802</v>
      </c>
    </row>
    <row r="255" spans="1:6" x14ac:dyDescent="0.25">
      <c r="A255">
        <v>244</v>
      </c>
      <c r="C255" s="5">
        <f t="shared" si="12"/>
        <v>-178.07976812317546</v>
      </c>
      <c r="D255" s="5">
        <f t="shared" si="13"/>
        <v>-107.57318901346382</v>
      </c>
      <c r="E255" s="5">
        <f t="shared" si="14"/>
        <v>-70.506579109711637</v>
      </c>
      <c r="F255" s="23">
        <f t="shared" si="15"/>
        <v>16222.844670792339</v>
      </c>
    </row>
    <row r="256" spans="1:6" x14ac:dyDescent="0.25">
      <c r="A256">
        <v>245</v>
      </c>
      <c r="C256" s="5">
        <f t="shared" si="12"/>
        <v>-178.07976812317546</v>
      </c>
      <c r="D256" s="5">
        <f t="shared" si="13"/>
        <v>-108.03763625702946</v>
      </c>
      <c r="E256" s="5">
        <f t="shared" si="14"/>
        <v>-70.042131866145994</v>
      </c>
      <c r="F256" s="23">
        <f t="shared" si="15"/>
        <v>16114.80703453531</v>
      </c>
    </row>
    <row r="257" spans="1:6" x14ac:dyDescent="0.25">
      <c r="A257">
        <v>246</v>
      </c>
      <c r="C257" s="5">
        <f t="shared" si="12"/>
        <v>-178.07976812317546</v>
      </c>
      <c r="D257" s="5">
        <f t="shared" si="13"/>
        <v>-108.50408875156917</v>
      </c>
      <c r="E257" s="5">
        <f t="shared" si="14"/>
        <v>-69.57567937160627</v>
      </c>
      <c r="F257" s="23">
        <f t="shared" si="15"/>
        <v>16006.30294578374</v>
      </c>
    </row>
    <row r="258" spans="1:6" x14ac:dyDescent="0.25">
      <c r="A258">
        <v>247</v>
      </c>
      <c r="C258" s="5">
        <f t="shared" si="12"/>
        <v>-178.07976812317546</v>
      </c>
      <c r="D258" s="5">
        <f t="shared" si="13"/>
        <v>-108.97255515475406</v>
      </c>
      <c r="E258" s="5">
        <f t="shared" si="14"/>
        <v>-69.107212968421365</v>
      </c>
      <c r="F258" s="23">
        <f t="shared" si="15"/>
        <v>15897.330390628986</v>
      </c>
    </row>
    <row r="259" spans="1:6" x14ac:dyDescent="0.25">
      <c r="A259">
        <v>248</v>
      </c>
      <c r="C259" s="5">
        <f t="shared" si="12"/>
        <v>-178.07976812317546</v>
      </c>
      <c r="D259" s="5">
        <f t="shared" si="13"/>
        <v>-109.44304416163472</v>
      </c>
      <c r="E259" s="5">
        <f t="shared" si="14"/>
        <v>-68.63672396154071</v>
      </c>
      <c r="F259" s="23">
        <f t="shared" si="15"/>
        <v>15787.887346467351</v>
      </c>
    </row>
    <row r="260" spans="1:6" x14ac:dyDescent="0.25">
      <c r="A260">
        <v>249</v>
      </c>
      <c r="C260" s="5">
        <f t="shared" si="12"/>
        <v>-178.07976812317546</v>
      </c>
      <c r="D260" s="5">
        <f t="shared" si="13"/>
        <v>-109.91556450480259</v>
      </c>
      <c r="E260" s="5">
        <f t="shared" si="14"/>
        <v>-68.164203618372866</v>
      </c>
      <c r="F260" s="23">
        <f t="shared" si="15"/>
        <v>15677.971781962548</v>
      </c>
    </row>
    <row r="261" spans="1:6" x14ac:dyDescent="0.25">
      <c r="A261">
        <v>250</v>
      </c>
      <c r="C261" s="5">
        <f t="shared" si="12"/>
        <v>-178.07976812317546</v>
      </c>
      <c r="D261" s="5">
        <f t="shared" si="13"/>
        <v>-110.39012495455206</v>
      </c>
      <c r="E261" s="5">
        <f t="shared" si="14"/>
        <v>-67.689643168623391</v>
      </c>
      <c r="F261" s="23">
        <f t="shared" si="15"/>
        <v>15567.581657007995</v>
      </c>
    </row>
    <row r="262" spans="1:6" x14ac:dyDescent="0.25">
      <c r="A262">
        <v>251</v>
      </c>
      <c r="C262" s="5">
        <f t="shared" si="12"/>
        <v>-178.07976812317546</v>
      </c>
      <c r="D262" s="5">
        <f t="shared" si="13"/>
        <v>-110.86673431904335</v>
      </c>
      <c r="E262" s="5">
        <f t="shared" si="14"/>
        <v>-67.21303380413211</v>
      </c>
      <c r="F262" s="23">
        <f t="shared" si="15"/>
        <v>15456.714922688952</v>
      </c>
    </row>
    <row r="263" spans="1:6" x14ac:dyDescent="0.25">
      <c r="A263">
        <v>252</v>
      </c>
      <c r="C263" s="5">
        <f t="shared" si="12"/>
        <v>-178.07976812317546</v>
      </c>
      <c r="D263" s="5">
        <f t="shared" si="13"/>
        <v>-111.34540144446582</v>
      </c>
      <c r="E263" s="5">
        <f t="shared" si="14"/>
        <v>-66.734366678709634</v>
      </c>
      <c r="F263" s="23">
        <f t="shared" si="15"/>
        <v>15345.369521244487</v>
      </c>
    </row>
    <row r="264" spans="1:6" x14ac:dyDescent="0.25">
      <c r="A264">
        <v>253</v>
      </c>
      <c r="C264" s="5">
        <f t="shared" si="12"/>
        <v>-178.07976812317546</v>
      </c>
      <c r="D264" s="5">
        <f t="shared" si="13"/>
        <v>-111.8261352152023</v>
      </c>
      <c r="E264" s="5">
        <f t="shared" si="14"/>
        <v>-66.253632907973156</v>
      </c>
      <c r="F264" s="23">
        <f t="shared" si="15"/>
        <v>15233.543386029285</v>
      </c>
    </row>
    <row r="265" spans="1:6" x14ac:dyDescent="0.25">
      <c r="A265">
        <v>254</v>
      </c>
      <c r="C265" s="5">
        <f t="shared" si="12"/>
        <v>-178.07976812317546</v>
      </c>
      <c r="D265" s="5">
        <f t="shared" si="13"/>
        <v>-112.30894455399392</v>
      </c>
      <c r="E265" s="5">
        <f t="shared" si="14"/>
        <v>-65.770823569181516</v>
      </c>
      <c r="F265" s="23">
        <f t="shared" si="15"/>
        <v>15121.234441475292</v>
      </c>
    </row>
    <row r="266" spans="1:6" x14ac:dyDescent="0.25">
      <c r="A266">
        <v>255</v>
      </c>
      <c r="C266" s="5">
        <f t="shared" si="12"/>
        <v>-178.07976812317546</v>
      </c>
      <c r="D266" s="5">
        <f t="shared" si="13"/>
        <v>-112.79383842210579</v>
      </c>
      <c r="E266" s="5">
        <f t="shared" si="14"/>
        <v>-65.285929701069634</v>
      </c>
      <c r="F266" s="23">
        <f t="shared" si="15"/>
        <v>15008.440603053186</v>
      </c>
    </row>
    <row r="267" spans="1:6" x14ac:dyDescent="0.25">
      <c r="A267">
        <v>256</v>
      </c>
      <c r="C267" s="5">
        <f t="shared" si="12"/>
        <v>-178.07976812317546</v>
      </c>
      <c r="D267" s="5">
        <f t="shared" si="13"/>
        <v>-113.28082581949324</v>
      </c>
      <c r="E267" s="5">
        <f t="shared" si="14"/>
        <v>-64.798942303682196</v>
      </c>
      <c r="F267" s="23">
        <f t="shared" si="15"/>
        <v>14895.159777233694</v>
      </c>
    </row>
    <row r="268" spans="1:6" x14ac:dyDescent="0.25">
      <c r="A268">
        <v>257</v>
      </c>
      <c r="C268" s="5">
        <f t="shared" ref="C268:C331" si="16">IF(A268&lt;=$C$4*$C$3,PMT($C$2/$C$4,$C$3*$C$4,$C$5),0)</f>
        <v>-178.07976812317546</v>
      </c>
      <c r="D268" s="5">
        <f t="shared" ref="D268:D331" si="17">IFERROR(PPMT($C$2/$C$4,A268,$C$3*$C$4,$C$5),0)</f>
        <v>-113.76991578496892</v>
      </c>
      <c r="E268" s="5">
        <f t="shared" ref="E268:E331" si="18">IFERROR(IPMT($C$2/$C$4,A268,$C$3*$C$4,$C$5),0)</f>
        <v>-64.309852338206539</v>
      </c>
      <c r="F268" s="23">
        <f t="shared" si="15"/>
        <v>14781.389861448724</v>
      </c>
    </row>
    <row r="269" spans="1:6" x14ac:dyDescent="0.25">
      <c r="A269">
        <v>258</v>
      </c>
      <c r="C269" s="5">
        <f t="shared" si="16"/>
        <v>-178.07976812317546</v>
      </c>
      <c r="D269" s="5">
        <f t="shared" si="17"/>
        <v>-114.26111739637051</v>
      </c>
      <c r="E269" s="5">
        <f t="shared" si="18"/>
        <v>-63.818650726804947</v>
      </c>
      <c r="F269" s="23">
        <f t="shared" ref="F269:F332" si="19">IFERROR(F268+D269,0)</f>
        <v>14667.128744052354</v>
      </c>
    </row>
    <row r="270" spans="1:6" x14ac:dyDescent="0.25">
      <c r="A270">
        <v>259</v>
      </c>
      <c r="C270" s="5">
        <f t="shared" si="16"/>
        <v>-178.07976812317546</v>
      </c>
      <c r="D270" s="5">
        <f t="shared" si="17"/>
        <v>-114.75443977072933</v>
      </c>
      <c r="E270" s="5">
        <f t="shared" si="18"/>
        <v>-63.325328352446114</v>
      </c>
      <c r="F270" s="23">
        <f t="shared" si="19"/>
        <v>14552.374304281624</v>
      </c>
    </row>
    <row r="271" spans="1:6" x14ac:dyDescent="0.25">
      <c r="A271">
        <v>260</v>
      </c>
      <c r="C271" s="5">
        <f t="shared" si="16"/>
        <v>-178.07976812317546</v>
      </c>
      <c r="D271" s="5">
        <f t="shared" si="17"/>
        <v>-115.24989206443946</v>
      </c>
      <c r="E271" s="5">
        <f t="shared" si="18"/>
        <v>-62.829876058735984</v>
      </c>
      <c r="F271" s="23">
        <f t="shared" si="19"/>
        <v>14437.124412217185</v>
      </c>
    </row>
    <row r="272" spans="1:6" x14ac:dyDescent="0.25">
      <c r="A272">
        <v>261</v>
      </c>
      <c r="C272" s="5">
        <f t="shared" si="16"/>
        <v>-178.07976812317546</v>
      </c>
      <c r="D272" s="5">
        <f t="shared" si="17"/>
        <v>-115.74748347342768</v>
      </c>
      <c r="E272" s="5">
        <f t="shared" si="18"/>
        <v>-62.33228464974777</v>
      </c>
      <c r="F272" s="23">
        <f t="shared" si="19"/>
        <v>14321.376928743757</v>
      </c>
    </row>
    <row r="273" spans="1:6" x14ac:dyDescent="0.25">
      <c r="A273">
        <v>262</v>
      </c>
      <c r="C273" s="5">
        <f t="shared" si="16"/>
        <v>-178.07976812317546</v>
      </c>
      <c r="D273" s="5">
        <f t="shared" si="17"/>
        <v>-116.24722323332421</v>
      </c>
      <c r="E273" s="5">
        <f t="shared" si="18"/>
        <v>-61.832544889851242</v>
      </c>
      <c r="F273" s="23">
        <f t="shared" si="19"/>
        <v>14205.129705510433</v>
      </c>
    </row>
    <row r="274" spans="1:6" x14ac:dyDescent="0.25">
      <c r="A274">
        <v>263</v>
      </c>
      <c r="C274" s="5">
        <f t="shared" si="16"/>
        <v>-178.07976812317546</v>
      </c>
      <c r="D274" s="5">
        <f t="shared" si="17"/>
        <v>-116.74912061963408</v>
      </c>
      <c r="E274" s="5">
        <f t="shared" si="18"/>
        <v>-61.330647503541371</v>
      </c>
      <c r="F274" s="23">
        <f t="shared" si="19"/>
        <v>14088.3805848908</v>
      </c>
    </row>
    <row r="275" spans="1:6" x14ac:dyDescent="0.25">
      <c r="A275">
        <v>264</v>
      </c>
      <c r="C275" s="5">
        <f t="shared" si="16"/>
        <v>-178.07976812317546</v>
      </c>
      <c r="D275" s="5">
        <f t="shared" si="17"/>
        <v>-117.25318494790936</v>
      </c>
      <c r="E275" s="5">
        <f t="shared" si="18"/>
        <v>-60.826583175266094</v>
      </c>
      <c r="F275" s="23">
        <f t="shared" si="19"/>
        <v>13971.12739994289</v>
      </c>
    </row>
    <row r="276" spans="1:6" x14ac:dyDescent="0.25">
      <c r="A276">
        <v>265</v>
      </c>
      <c r="C276" s="5">
        <f t="shared" si="16"/>
        <v>-178.07976812317546</v>
      </c>
      <c r="D276" s="5">
        <f t="shared" si="17"/>
        <v>-117.75942557392196</v>
      </c>
      <c r="E276" s="5">
        <f t="shared" si="18"/>
        <v>-60.320342549253496</v>
      </c>
      <c r="F276" s="23">
        <f t="shared" si="19"/>
        <v>13853.367974368968</v>
      </c>
    </row>
    <row r="277" spans="1:6" x14ac:dyDescent="0.25">
      <c r="A277">
        <v>266</v>
      </c>
      <c r="C277" s="5">
        <f t="shared" si="16"/>
        <v>-178.07976812317546</v>
      </c>
      <c r="D277" s="5">
        <f t="shared" si="17"/>
        <v>-118.26785189383735</v>
      </c>
      <c r="E277" s="5">
        <f t="shared" si="18"/>
        <v>-59.811916229338088</v>
      </c>
      <c r="F277" s="23">
        <f t="shared" si="19"/>
        <v>13735.100122475131</v>
      </c>
    </row>
    <row r="278" spans="1:6" x14ac:dyDescent="0.25">
      <c r="A278">
        <v>267</v>
      </c>
      <c r="C278" s="5">
        <f t="shared" si="16"/>
        <v>-178.07976812317546</v>
      </c>
      <c r="D278" s="5">
        <f t="shared" si="17"/>
        <v>-118.77847334438898</v>
      </c>
      <c r="E278" s="5">
        <f t="shared" si="18"/>
        <v>-59.301294778786456</v>
      </c>
      <c r="F278" s="23">
        <f t="shared" si="19"/>
        <v>13616.321649130741</v>
      </c>
    </row>
    <row r="279" spans="1:6" x14ac:dyDescent="0.25">
      <c r="A279">
        <v>268</v>
      </c>
      <c r="C279" s="5">
        <f t="shared" si="16"/>
        <v>-178.07976812317546</v>
      </c>
      <c r="D279" s="5">
        <f t="shared" si="17"/>
        <v>-119.29129940305342</v>
      </c>
      <c r="E279" s="5">
        <f t="shared" si="18"/>
        <v>-58.788468720122047</v>
      </c>
      <c r="F279" s="23">
        <f t="shared" si="19"/>
        <v>13497.030349727687</v>
      </c>
    </row>
    <row r="280" spans="1:6" x14ac:dyDescent="0.25">
      <c r="A280">
        <v>269</v>
      </c>
      <c r="C280" s="5">
        <f t="shared" si="16"/>
        <v>-178.07976812317546</v>
      </c>
      <c r="D280" s="5">
        <f t="shared" si="17"/>
        <v>-119.80633958822608</v>
      </c>
      <c r="E280" s="5">
        <f t="shared" si="18"/>
        <v>-58.27342853494936</v>
      </c>
      <c r="F280" s="23">
        <f t="shared" si="19"/>
        <v>13377.224010139462</v>
      </c>
    </row>
    <row r="281" spans="1:6" x14ac:dyDescent="0.25">
      <c r="A281">
        <v>270</v>
      </c>
      <c r="C281" s="5">
        <f t="shared" si="16"/>
        <v>-178.07976812317546</v>
      </c>
      <c r="D281" s="5">
        <f t="shared" si="17"/>
        <v>-120.32360345939824</v>
      </c>
      <c r="E281" s="5">
        <f t="shared" si="18"/>
        <v>-57.756164663777199</v>
      </c>
      <c r="F281" s="23">
        <f t="shared" si="19"/>
        <v>13256.900406680064</v>
      </c>
    </row>
    <row r="282" spans="1:6" x14ac:dyDescent="0.25">
      <c r="A282">
        <v>271</v>
      </c>
      <c r="C282" s="5">
        <f t="shared" si="16"/>
        <v>-178.07976812317546</v>
      </c>
      <c r="D282" s="5">
        <f t="shared" si="17"/>
        <v>-120.84310061733422</v>
      </c>
      <c r="E282" s="5">
        <f t="shared" si="18"/>
        <v>-57.23666750584124</v>
      </c>
      <c r="F282" s="23">
        <f t="shared" si="19"/>
        <v>13136.05730606273</v>
      </c>
    </row>
    <row r="283" spans="1:6" x14ac:dyDescent="0.25">
      <c r="A283">
        <v>272</v>
      </c>
      <c r="C283" s="5">
        <f t="shared" si="16"/>
        <v>-178.07976812317546</v>
      </c>
      <c r="D283" s="5">
        <f t="shared" si="17"/>
        <v>-121.36484070424956</v>
      </c>
      <c r="E283" s="5">
        <f t="shared" si="18"/>
        <v>-56.71492741892591</v>
      </c>
      <c r="F283" s="23">
        <f t="shared" si="19"/>
        <v>13014.692465358481</v>
      </c>
    </row>
    <row r="284" spans="1:6" x14ac:dyDescent="0.25">
      <c r="A284">
        <v>273</v>
      </c>
      <c r="C284" s="5">
        <f t="shared" si="16"/>
        <v>-178.07976812317546</v>
      </c>
      <c r="D284" s="5">
        <f t="shared" si="17"/>
        <v>-121.88883340399015</v>
      </c>
      <c r="E284" s="5">
        <f t="shared" si="18"/>
        <v>-56.190934719185307</v>
      </c>
      <c r="F284" s="23">
        <f t="shared" si="19"/>
        <v>12892.803631954492</v>
      </c>
    </row>
    <row r="285" spans="1:6" x14ac:dyDescent="0.25">
      <c r="A285">
        <v>274</v>
      </c>
      <c r="C285" s="5">
        <f t="shared" si="16"/>
        <v>-178.07976812317546</v>
      </c>
      <c r="D285" s="5">
        <f t="shared" si="17"/>
        <v>-122.41508844221188</v>
      </c>
      <c r="E285" s="5">
        <f t="shared" si="18"/>
        <v>-55.66467968096358</v>
      </c>
      <c r="F285" s="23">
        <f t="shared" si="19"/>
        <v>12770.388543512279</v>
      </c>
    </row>
    <row r="286" spans="1:6" x14ac:dyDescent="0.25">
      <c r="A286">
        <v>275</v>
      </c>
      <c r="C286" s="5">
        <f t="shared" si="16"/>
        <v>-178.07976812317546</v>
      </c>
      <c r="D286" s="5">
        <f t="shared" si="17"/>
        <v>-122.94361558656111</v>
      </c>
      <c r="E286" s="5">
        <f t="shared" si="18"/>
        <v>-55.136152536614333</v>
      </c>
      <c r="F286" s="23">
        <f t="shared" si="19"/>
        <v>12647.444927925719</v>
      </c>
    </row>
    <row r="287" spans="1:6" x14ac:dyDescent="0.25">
      <c r="A287">
        <v>276</v>
      </c>
      <c r="C287" s="5">
        <f t="shared" si="16"/>
        <v>-178.07976812317546</v>
      </c>
      <c r="D287" s="5">
        <f t="shared" si="17"/>
        <v>-123.47442464685609</v>
      </c>
      <c r="E287" s="5">
        <f t="shared" si="18"/>
        <v>-54.605343476319355</v>
      </c>
      <c r="F287" s="23">
        <f t="shared" si="19"/>
        <v>12523.970503278862</v>
      </c>
    </row>
    <row r="288" spans="1:6" x14ac:dyDescent="0.25">
      <c r="A288">
        <v>277</v>
      </c>
      <c r="C288" s="5">
        <f t="shared" si="16"/>
        <v>-178.07976812317546</v>
      </c>
      <c r="D288" s="5">
        <f t="shared" si="17"/>
        <v>-124.00752547526889</v>
      </c>
      <c r="E288" s="5">
        <f t="shared" si="18"/>
        <v>-54.072242647906549</v>
      </c>
      <c r="F288" s="23">
        <f t="shared" si="19"/>
        <v>12399.962977803594</v>
      </c>
    </row>
    <row r="289" spans="1:6" x14ac:dyDescent="0.25">
      <c r="A289">
        <v>278</v>
      </c>
      <c r="C289" s="5">
        <f t="shared" si="16"/>
        <v>-178.07976812317546</v>
      </c>
      <c r="D289" s="5">
        <f t="shared" si="17"/>
        <v>-124.54292796650837</v>
      </c>
      <c r="E289" s="5">
        <f t="shared" si="18"/>
        <v>-53.536840156667083</v>
      </c>
      <c r="F289" s="23">
        <f t="shared" si="19"/>
        <v>12275.420049837086</v>
      </c>
    </row>
    <row r="290" spans="1:6" x14ac:dyDescent="0.25">
      <c r="A290">
        <v>279</v>
      </c>
      <c r="C290" s="5">
        <f t="shared" si="16"/>
        <v>-178.07976812317546</v>
      </c>
      <c r="D290" s="5">
        <f t="shared" si="17"/>
        <v>-125.08064205800378</v>
      </c>
      <c r="E290" s="5">
        <f t="shared" si="18"/>
        <v>-52.999126065171673</v>
      </c>
      <c r="F290" s="23">
        <f t="shared" si="19"/>
        <v>12150.339407779084</v>
      </c>
    </row>
    <row r="291" spans="1:6" x14ac:dyDescent="0.25">
      <c r="A291">
        <v>280</v>
      </c>
      <c r="C291" s="5">
        <f t="shared" si="16"/>
        <v>-178.07976812317546</v>
      </c>
      <c r="D291" s="5">
        <f t="shared" si="17"/>
        <v>-125.6206777300892</v>
      </c>
      <c r="E291" s="5">
        <f t="shared" si="18"/>
        <v>-52.459090393086242</v>
      </c>
      <c r="F291" s="23">
        <f t="shared" si="19"/>
        <v>12024.718730048995</v>
      </c>
    </row>
    <row r="292" spans="1:6" x14ac:dyDescent="0.25">
      <c r="A292">
        <v>281</v>
      </c>
      <c r="C292" s="5">
        <f t="shared" si="16"/>
        <v>-178.07976812317546</v>
      </c>
      <c r="D292" s="5">
        <f t="shared" si="17"/>
        <v>-126.16304500618885</v>
      </c>
      <c r="E292" s="5">
        <f t="shared" si="18"/>
        <v>-51.916723116986581</v>
      </c>
      <c r="F292" s="23">
        <f t="shared" si="19"/>
        <v>11898.555685042806</v>
      </c>
    </row>
    <row r="293" spans="1:6" x14ac:dyDescent="0.25">
      <c r="A293">
        <v>282</v>
      </c>
      <c r="C293" s="5">
        <f t="shared" si="16"/>
        <v>-178.07976812317546</v>
      </c>
      <c r="D293" s="5">
        <f t="shared" si="17"/>
        <v>-126.70775395300309</v>
      </c>
      <c r="E293" s="5">
        <f t="shared" si="18"/>
        <v>-51.37201417017237</v>
      </c>
      <c r="F293" s="23">
        <f t="shared" si="19"/>
        <v>11771.847931089802</v>
      </c>
    </row>
    <row r="294" spans="1:6" x14ac:dyDescent="0.25">
      <c r="A294">
        <v>283</v>
      </c>
      <c r="C294" s="5">
        <f t="shared" si="16"/>
        <v>-178.07976812317546</v>
      </c>
      <c r="D294" s="5">
        <f t="shared" si="17"/>
        <v>-127.25481468069516</v>
      </c>
      <c r="E294" s="5">
        <f t="shared" si="18"/>
        <v>-50.824953442480279</v>
      </c>
      <c r="F294" s="23">
        <f t="shared" si="19"/>
        <v>11644.593116409107</v>
      </c>
    </row>
    <row r="295" spans="1:6" x14ac:dyDescent="0.25">
      <c r="A295">
        <v>284</v>
      </c>
      <c r="C295" s="5">
        <f t="shared" si="16"/>
        <v>-178.07976812317546</v>
      </c>
      <c r="D295" s="5">
        <f t="shared" si="17"/>
        <v>-127.80423734307907</v>
      </c>
      <c r="E295" s="5">
        <f t="shared" si="18"/>
        <v>-50.275530780096375</v>
      </c>
      <c r="F295" s="23">
        <f t="shared" si="19"/>
        <v>11516.788879066027</v>
      </c>
    </row>
    <row r="296" spans="1:6" x14ac:dyDescent="0.25">
      <c r="A296">
        <v>285</v>
      </c>
      <c r="C296" s="5">
        <f t="shared" si="16"/>
        <v>-178.07976812317546</v>
      </c>
      <c r="D296" s="5">
        <f t="shared" si="17"/>
        <v>-128.35603213780783</v>
      </c>
      <c r="E296" s="5">
        <f t="shared" si="18"/>
        <v>-49.723735985367632</v>
      </c>
      <c r="F296" s="23">
        <f t="shared" si="19"/>
        <v>11388.432846928219</v>
      </c>
    </row>
    <row r="297" spans="1:6" x14ac:dyDescent="0.25">
      <c r="A297">
        <v>286</v>
      </c>
      <c r="C297" s="5">
        <f t="shared" si="16"/>
        <v>-178.07976812317546</v>
      </c>
      <c r="D297" s="5">
        <f t="shared" si="17"/>
        <v>-128.91020930656279</v>
      </c>
      <c r="E297" s="5">
        <f t="shared" si="18"/>
        <v>-49.169558816612643</v>
      </c>
      <c r="F297" s="23">
        <f t="shared" si="19"/>
        <v>11259.522637621656</v>
      </c>
    </row>
    <row r="298" spans="1:6" x14ac:dyDescent="0.25">
      <c r="A298">
        <v>287</v>
      </c>
      <c r="C298" s="5">
        <f t="shared" si="16"/>
        <v>-178.07976812317546</v>
      </c>
      <c r="D298" s="5">
        <f t="shared" si="17"/>
        <v>-129.46677913524388</v>
      </c>
      <c r="E298" s="5">
        <f t="shared" si="18"/>
        <v>-48.612988987931551</v>
      </c>
      <c r="F298" s="23">
        <f t="shared" si="19"/>
        <v>11130.055858486412</v>
      </c>
    </row>
    <row r="299" spans="1:6" x14ac:dyDescent="0.25">
      <c r="A299">
        <v>288</v>
      </c>
      <c r="C299" s="5">
        <f t="shared" si="16"/>
        <v>-178.07976812317546</v>
      </c>
      <c r="D299" s="5">
        <f t="shared" si="17"/>
        <v>-130.02575195416031</v>
      </c>
      <c r="E299" s="5">
        <f t="shared" si="18"/>
        <v>-48.054016169015142</v>
      </c>
      <c r="F299" s="23">
        <f t="shared" si="19"/>
        <v>11000.030106532251</v>
      </c>
    </row>
    <row r="300" spans="1:6" x14ac:dyDescent="0.25">
      <c r="A300">
        <v>289</v>
      </c>
      <c r="C300" s="5">
        <f t="shared" si="16"/>
        <v>-178.07976812317546</v>
      </c>
      <c r="D300" s="5">
        <f t="shared" si="17"/>
        <v>-130.58713813822237</v>
      </c>
      <c r="E300" s="5">
        <f t="shared" si="18"/>
        <v>-47.492629984953055</v>
      </c>
      <c r="F300" s="23">
        <f t="shared" si="19"/>
        <v>10869.442968394029</v>
      </c>
    </row>
    <row r="301" spans="1:6" x14ac:dyDescent="0.25">
      <c r="A301">
        <v>290</v>
      </c>
      <c r="C301" s="5">
        <f t="shared" si="16"/>
        <v>-178.07976812317546</v>
      </c>
      <c r="D301" s="5">
        <f t="shared" si="17"/>
        <v>-131.15094810713416</v>
      </c>
      <c r="E301" s="5">
        <f t="shared" si="18"/>
        <v>-46.928820016041286</v>
      </c>
      <c r="F301" s="23">
        <f t="shared" si="19"/>
        <v>10738.292020286895</v>
      </c>
    </row>
    <row r="302" spans="1:6" x14ac:dyDescent="0.25">
      <c r="A302">
        <v>291</v>
      </c>
      <c r="C302" s="5">
        <f t="shared" si="16"/>
        <v>-178.07976812317546</v>
      </c>
      <c r="D302" s="5">
        <f t="shared" si="17"/>
        <v>-131.71719232558672</v>
      </c>
      <c r="E302" s="5">
        <f t="shared" si="18"/>
        <v>-46.362575797588732</v>
      </c>
      <c r="F302" s="23">
        <f t="shared" si="19"/>
        <v>10606.574827961309</v>
      </c>
    </row>
    <row r="303" spans="1:6" x14ac:dyDescent="0.25">
      <c r="A303">
        <v>292</v>
      </c>
      <c r="C303" s="5">
        <f t="shared" si="16"/>
        <v>-178.07976812317546</v>
      </c>
      <c r="D303" s="5">
        <f t="shared" si="17"/>
        <v>-132.28588130345244</v>
      </c>
      <c r="E303" s="5">
        <f t="shared" si="18"/>
        <v>-45.793886819723006</v>
      </c>
      <c r="F303" s="23">
        <f t="shared" si="19"/>
        <v>10474.288946657856</v>
      </c>
    </row>
    <row r="304" spans="1:6" x14ac:dyDescent="0.25">
      <c r="A304">
        <v>293</v>
      </c>
      <c r="C304" s="5">
        <f t="shared" si="16"/>
        <v>-178.07976812317546</v>
      </c>
      <c r="D304" s="5">
        <f t="shared" si="17"/>
        <v>-132.8570255959801</v>
      </c>
      <c r="E304" s="5">
        <f t="shared" si="18"/>
        <v>-45.222742527195358</v>
      </c>
      <c r="F304" s="23">
        <f t="shared" si="19"/>
        <v>10341.431921061876</v>
      </c>
    </row>
    <row r="305" spans="1:6" x14ac:dyDescent="0.25">
      <c r="A305">
        <v>294</v>
      </c>
      <c r="C305" s="5">
        <f t="shared" si="16"/>
        <v>-178.07976812317546</v>
      </c>
      <c r="D305" s="5">
        <f t="shared" si="17"/>
        <v>-133.43063580399075</v>
      </c>
      <c r="E305" s="5">
        <f t="shared" si="18"/>
        <v>-44.649132319184709</v>
      </c>
      <c r="F305" s="23">
        <f t="shared" si="19"/>
        <v>10208.001285257886</v>
      </c>
    </row>
    <row r="306" spans="1:6" x14ac:dyDescent="0.25">
      <c r="A306">
        <v>295</v>
      </c>
      <c r="C306" s="5">
        <f t="shared" si="16"/>
        <v>-178.07976812317546</v>
      </c>
      <c r="D306" s="5">
        <f t="shared" si="17"/>
        <v>-134.00672257407447</v>
      </c>
      <c r="E306" s="5">
        <f t="shared" si="18"/>
        <v>-44.073045549100975</v>
      </c>
      <c r="F306" s="23">
        <f t="shared" si="19"/>
        <v>10073.994562683811</v>
      </c>
    </row>
    <row r="307" spans="1:6" x14ac:dyDescent="0.25">
      <c r="A307">
        <v>296</v>
      </c>
      <c r="C307" s="5">
        <f t="shared" si="16"/>
        <v>-178.07976812317546</v>
      </c>
      <c r="D307" s="5">
        <f t="shared" si="17"/>
        <v>-134.58529659878803</v>
      </c>
      <c r="E307" s="5">
        <f t="shared" si="18"/>
        <v>-43.494471524387407</v>
      </c>
      <c r="F307" s="23">
        <f t="shared" si="19"/>
        <v>9939.409266085022</v>
      </c>
    </row>
    <row r="308" spans="1:6" x14ac:dyDescent="0.25">
      <c r="A308">
        <v>297</v>
      </c>
      <c r="C308" s="5">
        <f t="shared" si="16"/>
        <v>-178.07976812317546</v>
      </c>
      <c r="D308" s="5">
        <f t="shared" si="17"/>
        <v>-135.1663686168533</v>
      </c>
      <c r="E308" s="5">
        <f t="shared" si="18"/>
        <v>-42.913399506322136</v>
      </c>
      <c r="F308" s="23">
        <f t="shared" si="19"/>
        <v>9804.2428974681679</v>
      </c>
    </row>
    <row r="309" spans="1:6" x14ac:dyDescent="0.25">
      <c r="A309">
        <v>298</v>
      </c>
      <c r="C309" s="5">
        <f t="shared" si="16"/>
        <v>-178.07976812317546</v>
      </c>
      <c r="D309" s="5">
        <f t="shared" si="17"/>
        <v>-135.74994941335657</v>
      </c>
      <c r="E309" s="5">
        <f t="shared" si="18"/>
        <v>-42.329818709818881</v>
      </c>
      <c r="F309" s="23">
        <f t="shared" si="19"/>
        <v>9668.4929480548108</v>
      </c>
    </row>
    <row r="310" spans="1:6" x14ac:dyDescent="0.25">
      <c r="A310">
        <v>299</v>
      </c>
      <c r="C310" s="5">
        <f t="shared" si="16"/>
        <v>-178.07976812317546</v>
      </c>
      <c r="D310" s="5">
        <f t="shared" si="17"/>
        <v>-136.33604981994873</v>
      </c>
      <c r="E310" s="5">
        <f t="shared" si="18"/>
        <v>-41.743718303226707</v>
      </c>
      <c r="F310" s="23">
        <f t="shared" si="19"/>
        <v>9532.1568982348617</v>
      </c>
    </row>
    <row r="311" spans="1:6" x14ac:dyDescent="0.25">
      <c r="A311">
        <v>300</v>
      </c>
      <c r="C311" s="5">
        <f t="shared" si="16"/>
        <v>-178.07976812317546</v>
      </c>
      <c r="D311" s="5">
        <f t="shared" si="17"/>
        <v>-136.92468071504635</v>
      </c>
      <c r="E311" s="5">
        <f t="shared" si="18"/>
        <v>-41.155087408129077</v>
      </c>
      <c r="F311" s="23">
        <f t="shared" si="19"/>
        <v>9395.2322175198151</v>
      </c>
    </row>
    <row r="312" spans="1:6" x14ac:dyDescent="0.25">
      <c r="A312">
        <v>301</v>
      </c>
      <c r="C312" s="5">
        <f t="shared" si="16"/>
        <v>-178.07976812317546</v>
      </c>
      <c r="D312" s="5">
        <f t="shared" si="17"/>
        <v>-137.51585302403356</v>
      </c>
      <c r="E312" s="5">
        <f t="shared" si="18"/>
        <v>-40.563915099141873</v>
      </c>
      <c r="F312" s="23">
        <f t="shared" si="19"/>
        <v>9257.7163644957818</v>
      </c>
    </row>
    <row r="313" spans="1:6" x14ac:dyDescent="0.25">
      <c r="A313">
        <v>302</v>
      </c>
      <c r="C313" s="5">
        <f t="shared" si="16"/>
        <v>-178.07976812317546</v>
      </c>
      <c r="D313" s="5">
        <f t="shared" si="17"/>
        <v>-138.10957771946482</v>
      </c>
      <c r="E313" s="5">
        <f t="shared" si="18"/>
        <v>-39.97019040371061</v>
      </c>
      <c r="F313" s="23">
        <f t="shared" si="19"/>
        <v>9119.6067867763177</v>
      </c>
    </row>
    <row r="314" spans="1:6" x14ac:dyDescent="0.25">
      <c r="A314">
        <v>303</v>
      </c>
      <c r="C314" s="5">
        <f t="shared" si="16"/>
        <v>-178.07976812317546</v>
      </c>
      <c r="D314" s="5">
        <f t="shared" si="17"/>
        <v>-138.70586582126862</v>
      </c>
      <c r="E314" s="5">
        <f t="shared" si="18"/>
        <v>-39.373902301906817</v>
      </c>
      <c r="F314" s="23">
        <f t="shared" si="19"/>
        <v>8980.9009209550495</v>
      </c>
    </row>
    <row r="315" spans="1:6" x14ac:dyDescent="0.25">
      <c r="A315">
        <v>304</v>
      </c>
      <c r="C315" s="5">
        <f t="shared" si="16"/>
        <v>-178.07976812317546</v>
      </c>
      <c r="D315" s="5">
        <f t="shared" si="17"/>
        <v>-139.30472839695199</v>
      </c>
      <c r="E315" s="5">
        <f t="shared" si="18"/>
        <v>-38.77503972622349</v>
      </c>
      <c r="F315" s="23">
        <f t="shared" si="19"/>
        <v>8841.5961925580978</v>
      </c>
    </row>
    <row r="316" spans="1:6" x14ac:dyDescent="0.25">
      <c r="A316">
        <v>305</v>
      </c>
      <c r="C316" s="5">
        <f t="shared" si="16"/>
        <v>-178.07976812317546</v>
      </c>
      <c r="D316" s="5">
        <f t="shared" si="17"/>
        <v>-139.90617656180581</v>
      </c>
      <c r="E316" s="5">
        <f t="shared" si="18"/>
        <v>-38.173591561369655</v>
      </c>
      <c r="F316" s="23">
        <f t="shared" si="19"/>
        <v>8701.6900159962915</v>
      </c>
    </row>
    <row r="317" spans="1:6" x14ac:dyDescent="0.25">
      <c r="A317">
        <v>306</v>
      </c>
      <c r="C317" s="5">
        <f t="shared" si="16"/>
        <v>-178.07976812317546</v>
      </c>
      <c r="D317" s="5">
        <f t="shared" si="17"/>
        <v>-140.51022147911138</v>
      </c>
      <c r="E317" s="5">
        <f t="shared" si="18"/>
        <v>-37.569546644064054</v>
      </c>
      <c r="F317" s="23">
        <f t="shared" si="19"/>
        <v>8561.1797945171802</v>
      </c>
    </row>
    <row r="318" spans="1:6" x14ac:dyDescent="0.25">
      <c r="A318">
        <v>307</v>
      </c>
      <c r="C318" s="5">
        <f t="shared" si="16"/>
        <v>-178.07976812317546</v>
      </c>
      <c r="D318" s="5">
        <f t="shared" si="17"/>
        <v>-141.11687436034745</v>
      </c>
      <c r="E318" s="5">
        <f t="shared" si="18"/>
        <v>-36.962893762827989</v>
      </c>
      <c r="F318" s="23">
        <f t="shared" si="19"/>
        <v>8420.0629201568336</v>
      </c>
    </row>
    <row r="319" spans="1:6" x14ac:dyDescent="0.25">
      <c r="A319">
        <v>308</v>
      </c>
      <c r="C319" s="5">
        <f t="shared" si="16"/>
        <v>-178.07976812317546</v>
      </c>
      <c r="D319" s="5">
        <f t="shared" si="17"/>
        <v>-141.72614646539827</v>
      </c>
      <c r="E319" s="5">
        <f t="shared" si="18"/>
        <v>-36.353621657777182</v>
      </c>
      <c r="F319" s="23">
        <f t="shared" si="19"/>
        <v>8278.3367736914352</v>
      </c>
    </row>
    <row r="320" spans="1:6" x14ac:dyDescent="0.25">
      <c r="A320">
        <v>309</v>
      </c>
      <c r="C320" s="5">
        <f t="shared" si="16"/>
        <v>-178.07976812317546</v>
      </c>
      <c r="D320" s="5">
        <f t="shared" si="17"/>
        <v>-142.33804910276262</v>
      </c>
      <c r="E320" s="5">
        <f t="shared" si="18"/>
        <v>-35.741719020412837</v>
      </c>
      <c r="F320" s="23">
        <f t="shared" si="19"/>
        <v>8135.9987245886723</v>
      </c>
    </row>
    <row r="321" spans="1:6" x14ac:dyDescent="0.25">
      <c r="A321">
        <v>310</v>
      </c>
      <c r="C321" s="5">
        <f t="shared" si="16"/>
        <v>-178.07976812317546</v>
      </c>
      <c r="D321" s="5">
        <f t="shared" si="17"/>
        <v>-142.95259362976378</v>
      </c>
      <c r="E321" s="5">
        <f t="shared" si="18"/>
        <v>-35.127174493411658</v>
      </c>
      <c r="F321" s="23">
        <f t="shared" si="19"/>
        <v>7993.0461309589082</v>
      </c>
    </row>
    <row r="322" spans="1:6" x14ac:dyDescent="0.25">
      <c r="A322">
        <v>311</v>
      </c>
      <c r="C322" s="5">
        <f t="shared" si="16"/>
        <v>-178.07976812317546</v>
      </c>
      <c r="D322" s="5">
        <f t="shared" si="17"/>
        <v>-143.56979145276028</v>
      </c>
      <c r="E322" s="5">
        <f t="shared" si="18"/>
        <v>-34.509976670415156</v>
      </c>
      <c r="F322" s="23">
        <f t="shared" si="19"/>
        <v>7849.4763395061482</v>
      </c>
    </row>
    <row r="323" spans="1:6" x14ac:dyDescent="0.25">
      <c r="A323">
        <v>312</v>
      </c>
      <c r="C323" s="5">
        <f t="shared" si="16"/>
        <v>-178.07976812317546</v>
      </c>
      <c r="D323" s="5">
        <f t="shared" si="17"/>
        <v>-144.18965402735759</v>
      </c>
      <c r="E323" s="5">
        <f t="shared" si="18"/>
        <v>-33.890114095817857</v>
      </c>
      <c r="F323" s="23">
        <f t="shared" si="19"/>
        <v>7705.2866854787908</v>
      </c>
    </row>
    <row r="324" spans="1:6" x14ac:dyDescent="0.25">
      <c r="A324">
        <v>313</v>
      </c>
      <c r="C324" s="5">
        <f t="shared" si="16"/>
        <v>-178.07976812317546</v>
      </c>
      <c r="D324" s="5">
        <f t="shared" si="17"/>
        <v>-144.8121928586207</v>
      </c>
      <c r="E324" s="5">
        <f t="shared" si="18"/>
        <v>-33.267575264554743</v>
      </c>
      <c r="F324" s="23">
        <f t="shared" si="19"/>
        <v>7560.4744926201702</v>
      </c>
    </row>
    <row r="325" spans="1:6" x14ac:dyDescent="0.25">
      <c r="A325">
        <v>314</v>
      </c>
      <c r="C325" s="5">
        <f t="shared" si="16"/>
        <v>-178.07976812317546</v>
      </c>
      <c r="D325" s="5">
        <f t="shared" si="17"/>
        <v>-145.43741950128782</v>
      </c>
      <c r="E325" s="5">
        <f t="shared" si="18"/>
        <v>-32.642348621887642</v>
      </c>
      <c r="F325" s="23">
        <f t="shared" si="19"/>
        <v>7415.0370731188823</v>
      </c>
    </row>
    <row r="326" spans="1:6" x14ac:dyDescent="0.25">
      <c r="A326">
        <v>315</v>
      </c>
      <c r="C326" s="5">
        <f t="shared" si="16"/>
        <v>-178.07976812317546</v>
      </c>
      <c r="D326" s="5">
        <f t="shared" si="17"/>
        <v>-146.06534555998462</v>
      </c>
      <c r="E326" s="5">
        <f t="shared" si="18"/>
        <v>-32.014422563190834</v>
      </c>
      <c r="F326" s="23">
        <f t="shared" si="19"/>
        <v>7268.9717275588973</v>
      </c>
    </row>
    <row r="327" spans="1:6" x14ac:dyDescent="0.25">
      <c r="A327">
        <v>316</v>
      </c>
      <c r="C327" s="5">
        <f t="shared" si="16"/>
        <v>-178.07976812317546</v>
      </c>
      <c r="D327" s="5">
        <f t="shared" si="17"/>
        <v>-146.69598268943983</v>
      </c>
      <c r="E327" s="5">
        <f t="shared" si="18"/>
        <v>-31.3837854337356</v>
      </c>
      <c r="F327" s="23">
        <f t="shared" si="19"/>
        <v>7122.2757448694574</v>
      </c>
    </row>
    <row r="328" spans="1:6" x14ac:dyDescent="0.25">
      <c r="A328">
        <v>317</v>
      </c>
      <c r="C328" s="5">
        <f t="shared" si="16"/>
        <v>-178.07976812317546</v>
      </c>
      <c r="D328" s="5">
        <f t="shared" si="17"/>
        <v>-147.32934259470153</v>
      </c>
      <c r="E328" s="5">
        <f t="shared" si="18"/>
        <v>-30.750425528473951</v>
      </c>
      <c r="F328" s="23">
        <f t="shared" si="19"/>
        <v>6974.9464022747561</v>
      </c>
    </row>
    <row r="329" spans="1:6" x14ac:dyDescent="0.25">
      <c r="A329">
        <v>318</v>
      </c>
      <c r="C329" s="5">
        <f t="shared" si="16"/>
        <v>-178.07976812317546</v>
      </c>
      <c r="D329" s="5">
        <f t="shared" si="17"/>
        <v>-147.96543703135413</v>
      </c>
      <c r="E329" s="5">
        <f t="shared" si="18"/>
        <v>-30.114331091821324</v>
      </c>
      <c r="F329" s="23">
        <f t="shared" si="19"/>
        <v>6826.9809652434024</v>
      </c>
    </row>
    <row r="330" spans="1:6" x14ac:dyDescent="0.25">
      <c r="A330">
        <v>319</v>
      </c>
      <c r="C330" s="5">
        <f t="shared" si="16"/>
        <v>-178.07976812317546</v>
      </c>
      <c r="D330" s="5">
        <f t="shared" si="17"/>
        <v>-148.60427780573701</v>
      </c>
      <c r="E330" s="5">
        <f t="shared" si="18"/>
        <v>-29.475490317438453</v>
      </c>
      <c r="F330" s="23">
        <f t="shared" si="19"/>
        <v>6678.3766874376652</v>
      </c>
    </row>
    <row r="331" spans="1:6" x14ac:dyDescent="0.25">
      <c r="A331">
        <v>320</v>
      </c>
      <c r="C331" s="5">
        <f t="shared" si="16"/>
        <v>-178.07976812317546</v>
      </c>
      <c r="D331" s="5">
        <f t="shared" si="17"/>
        <v>-149.24587677516328</v>
      </c>
      <c r="E331" s="5">
        <f t="shared" si="18"/>
        <v>-28.83389134801218</v>
      </c>
      <c r="F331" s="23">
        <f t="shared" si="19"/>
        <v>6529.130810662502</v>
      </c>
    </row>
    <row r="332" spans="1:6" x14ac:dyDescent="0.25">
      <c r="A332">
        <v>321</v>
      </c>
      <c r="C332" s="5">
        <f t="shared" ref="C332:C371" si="20">IF(A332&lt;=$C$4*$C$3,PMT($C$2/$C$4,$C$3*$C$4,$C$5),0)</f>
        <v>-178.07976812317546</v>
      </c>
      <c r="D332" s="5">
        <f t="shared" ref="D332:D371" si="21">IFERROR(PPMT($C$2/$C$4,A332,$C$3*$C$4,$C$5),0)</f>
        <v>-149.89024584814004</v>
      </c>
      <c r="E332" s="5">
        <f t="shared" ref="E332:E371" si="22">IFERROR(IPMT($C$2/$C$4,A332,$C$3*$C$4,$C$5),0)</f>
        <v>-28.189522275035412</v>
      </c>
      <c r="F332" s="23">
        <f t="shared" si="19"/>
        <v>6379.2405648143622</v>
      </c>
    </row>
    <row r="333" spans="1:6" x14ac:dyDescent="0.25">
      <c r="A333">
        <v>322</v>
      </c>
      <c r="C333" s="5">
        <f t="shared" si="20"/>
        <v>-178.07976812317546</v>
      </c>
      <c r="D333" s="5">
        <f t="shared" si="21"/>
        <v>-150.53739698458938</v>
      </c>
      <c r="E333" s="5">
        <f t="shared" si="22"/>
        <v>-27.54237113858607</v>
      </c>
      <c r="F333" s="23">
        <f t="shared" ref="F333:F371" si="23">IFERROR(F332+D333,0)</f>
        <v>6228.7031678297726</v>
      </c>
    </row>
    <row r="334" spans="1:6" x14ac:dyDescent="0.25">
      <c r="A334">
        <v>323</v>
      </c>
      <c r="C334" s="5">
        <f t="shared" si="20"/>
        <v>-178.07976812317546</v>
      </c>
      <c r="D334" s="5">
        <f t="shared" si="21"/>
        <v>-151.18734219607035</v>
      </c>
      <c r="E334" s="5">
        <f t="shared" si="22"/>
        <v>-26.892425927105108</v>
      </c>
      <c r="F334" s="23">
        <f t="shared" si="23"/>
        <v>6077.5158256337027</v>
      </c>
    </row>
    <row r="335" spans="1:6" x14ac:dyDescent="0.25">
      <c r="A335">
        <v>324</v>
      </c>
      <c r="C335" s="5">
        <f t="shared" si="20"/>
        <v>-178.07976812317546</v>
      </c>
      <c r="D335" s="5">
        <f t="shared" si="21"/>
        <v>-151.84009354600187</v>
      </c>
      <c r="E335" s="5">
        <f t="shared" si="22"/>
        <v>-26.23967457717357</v>
      </c>
      <c r="F335" s="23">
        <f t="shared" si="23"/>
        <v>5925.6757320877005</v>
      </c>
    </row>
    <row r="336" spans="1:6" x14ac:dyDescent="0.25">
      <c r="A336">
        <v>325</v>
      </c>
      <c r="C336" s="5">
        <f t="shared" si="20"/>
        <v>-178.07976812317546</v>
      </c>
      <c r="D336" s="5">
        <f t="shared" si="21"/>
        <v>-152.49566314988672</v>
      </c>
      <c r="E336" s="5">
        <f t="shared" si="22"/>
        <v>-25.584104973288706</v>
      </c>
      <c r="F336" s="23">
        <f t="shared" si="23"/>
        <v>5773.1800689378133</v>
      </c>
    </row>
    <row r="337" spans="1:6" x14ac:dyDescent="0.25">
      <c r="A337">
        <v>326</v>
      </c>
      <c r="C337" s="5">
        <f t="shared" si="20"/>
        <v>-178.07976812317546</v>
      </c>
      <c r="D337" s="5">
        <f t="shared" si="21"/>
        <v>-153.15406317553638</v>
      </c>
      <c r="E337" s="5">
        <f t="shared" si="22"/>
        <v>-24.925704947639073</v>
      </c>
      <c r="F337" s="23">
        <f t="shared" si="23"/>
        <v>5620.0260057622772</v>
      </c>
    </row>
    <row r="338" spans="1:6" x14ac:dyDescent="0.25">
      <c r="A338">
        <v>327</v>
      </c>
      <c r="C338" s="5">
        <f t="shared" si="20"/>
        <v>-178.07976812317546</v>
      </c>
      <c r="D338" s="5">
        <f t="shared" si="21"/>
        <v>-153.81530584329673</v>
      </c>
      <c r="E338" s="5">
        <f t="shared" si="22"/>
        <v>-24.264462279878693</v>
      </c>
      <c r="F338" s="23">
        <f t="shared" si="23"/>
        <v>5466.2106999189809</v>
      </c>
    </row>
    <row r="339" spans="1:6" x14ac:dyDescent="0.25">
      <c r="A339">
        <v>328</v>
      </c>
      <c r="C339" s="5">
        <f t="shared" si="20"/>
        <v>-178.07976812317546</v>
      </c>
      <c r="D339" s="5">
        <f t="shared" si="21"/>
        <v>-154.47940342627518</v>
      </c>
      <c r="E339" s="5">
        <f t="shared" si="22"/>
        <v>-23.600364696900257</v>
      </c>
      <c r="F339" s="23">
        <f t="shared" si="23"/>
        <v>5311.731296492706</v>
      </c>
    </row>
    <row r="340" spans="1:6" x14ac:dyDescent="0.25">
      <c r="A340">
        <v>329</v>
      </c>
      <c r="C340" s="5">
        <f t="shared" si="20"/>
        <v>-178.07976812317546</v>
      </c>
      <c r="D340" s="5">
        <f t="shared" si="21"/>
        <v>-155.14636825056814</v>
      </c>
      <c r="E340" s="5">
        <f t="shared" si="22"/>
        <v>-22.933399872607318</v>
      </c>
      <c r="F340" s="23">
        <f t="shared" si="23"/>
        <v>5156.5849282421377</v>
      </c>
    </row>
    <row r="341" spans="1:6" x14ac:dyDescent="0.25">
      <c r="A341">
        <v>330</v>
      </c>
      <c r="C341" s="5">
        <f t="shared" si="20"/>
        <v>-178.07976812317546</v>
      </c>
      <c r="D341" s="5">
        <f t="shared" si="21"/>
        <v>-155.81621269548995</v>
      </c>
      <c r="E341" s="5">
        <f t="shared" si="22"/>
        <v>-22.263555427685489</v>
      </c>
      <c r="F341" s="23">
        <f t="shared" si="23"/>
        <v>5000.7687155466474</v>
      </c>
    </row>
    <row r="342" spans="1:6" x14ac:dyDescent="0.25">
      <c r="A342">
        <v>331</v>
      </c>
      <c r="C342" s="5">
        <f t="shared" si="20"/>
        <v>-178.07976812317546</v>
      </c>
      <c r="D342" s="5">
        <f t="shared" si="21"/>
        <v>-156.48894919380274</v>
      </c>
      <c r="E342" s="5">
        <f t="shared" si="22"/>
        <v>-21.590818929372709</v>
      </c>
      <c r="F342" s="23">
        <f t="shared" si="23"/>
        <v>4844.2797663528445</v>
      </c>
    </row>
    <row r="343" spans="1:6" x14ac:dyDescent="0.25">
      <c r="A343">
        <v>332</v>
      </c>
      <c r="C343" s="5">
        <f t="shared" si="20"/>
        <v>-178.07976812317546</v>
      </c>
      <c r="D343" s="5">
        <f t="shared" si="21"/>
        <v>-157.16459023194699</v>
      </c>
      <c r="E343" s="5">
        <f t="shared" si="22"/>
        <v>-20.91517789122847</v>
      </c>
      <c r="F343" s="23">
        <f t="shared" si="23"/>
        <v>4687.1151761208976</v>
      </c>
    </row>
    <row r="344" spans="1:6" x14ac:dyDescent="0.25">
      <c r="A344">
        <v>333</v>
      </c>
      <c r="C344" s="5">
        <f t="shared" si="20"/>
        <v>-178.07976812317546</v>
      </c>
      <c r="D344" s="5">
        <f t="shared" si="21"/>
        <v>-157.84314835027342</v>
      </c>
      <c r="E344" s="5">
        <f t="shared" si="22"/>
        <v>-20.236619772902039</v>
      </c>
      <c r="F344" s="23">
        <f t="shared" si="23"/>
        <v>4529.2720277706239</v>
      </c>
    </row>
    <row r="345" spans="1:6" x14ac:dyDescent="0.25">
      <c r="A345">
        <v>334</v>
      </c>
      <c r="C345" s="5">
        <f t="shared" si="20"/>
        <v>-178.07976812317546</v>
      </c>
      <c r="D345" s="5">
        <f t="shared" si="21"/>
        <v>-158.5246361432757</v>
      </c>
      <c r="E345" s="5">
        <f t="shared" si="22"/>
        <v>-19.555131979899734</v>
      </c>
      <c r="F345" s="23">
        <f t="shared" si="23"/>
        <v>4370.7473916273484</v>
      </c>
    </row>
    <row r="346" spans="1:6" x14ac:dyDescent="0.25">
      <c r="A346">
        <v>335</v>
      </c>
      <c r="C346" s="5">
        <f t="shared" si="20"/>
        <v>-178.07976812317546</v>
      </c>
      <c r="D346" s="5">
        <f t="shared" si="21"/>
        <v>-159.20906625982431</v>
      </c>
      <c r="E346" s="5">
        <f t="shared" si="22"/>
        <v>-18.870701863351137</v>
      </c>
      <c r="F346" s="23">
        <f t="shared" si="23"/>
        <v>4211.5383253675245</v>
      </c>
    </row>
    <row r="347" spans="1:6" x14ac:dyDescent="0.25">
      <c r="A347">
        <v>336</v>
      </c>
      <c r="C347" s="5">
        <f t="shared" si="20"/>
        <v>-178.07976812317546</v>
      </c>
      <c r="D347" s="5">
        <f t="shared" si="21"/>
        <v>-159.8964514034011</v>
      </c>
      <c r="E347" s="5">
        <f t="shared" si="22"/>
        <v>-18.183316719774346</v>
      </c>
      <c r="F347" s="23">
        <f t="shared" si="23"/>
        <v>4051.6418739641235</v>
      </c>
    </row>
    <row r="348" spans="1:6" x14ac:dyDescent="0.25">
      <c r="A348">
        <v>337</v>
      </c>
      <c r="C348" s="5">
        <f t="shared" si="20"/>
        <v>-178.07976812317546</v>
      </c>
      <c r="D348" s="5">
        <f t="shared" si="21"/>
        <v>-160.58680433233528</v>
      </c>
      <c r="E348" s="5">
        <f t="shared" si="22"/>
        <v>-17.492963790840161</v>
      </c>
      <c r="F348" s="23">
        <f t="shared" si="23"/>
        <v>3891.0550696317882</v>
      </c>
    </row>
    <row r="349" spans="1:6" x14ac:dyDescent="0.25">
      <c r="A349">
        <v>338</v>
      </c>
      <c r="C349" s="5">
        <f t="shared" si="20"/>
        <v>-178.07976812317546</v>
      </c>
      <c r="D349" s="5">
        <f t="shared" si="21"/>
        <v>-161.28013786004013</v>
      </c>
      <c r="E349" s="5">
        <f t="shared" si="22"/>
        <v>-16.799630263135302</v>
      </c>
      <c r="F349" s="23">
        <f t="shared" si="23"/>
        <v>3729.774931771748</v>
      </c>
    </row>
    <row r="350" spans="1:6" x14ac:dyDescent="0.25">
      <c r="A350">
        <v>339</v>
      </c>
      <c r="C350" s="5">
        <f t="shared" si="20"/>
        <v>-178.07976812317546</v>
      </c>
      <c r="D350" s="5">
        <f t="shared" si="21"/>
        <v>-161.97646485525087</v>
      </c>
      <c r="E350" s="5">
        <f t="shared" si="22"/>
        <v>-16.103303267924581</v>
      </c>
      <c r="F350" s="23">
        <f t="shared" si="23"/>
        <v>3567.7984669164971</v>
      </c>
    </row>
    <row r="351" spans="1:6" x14ac:dyDescent="0.25">
      <c r="A351">
        <v>340</v>
      </c>
      <c r="C351" s="5">
        <f t="shared" si="20"/>
        <v>-178.07976812317546</v>
      </c>
      <c r="D351" s="5">
        <f t="shared" si="21"/>
        <v>-162.67579824226343</v>
      </c>
      <c r="E351" s="5">
        <f t="shared" si="22"/>
        <v>-15.403969880912035</v>
      </c>
      <c r="F351" s="23">
        <f t="shared" si="23"/>
        <v>3405.1226686742339</v>
      </c>
    </row>
    <row r="352" spans="1:6" x14ac:dyDescent="0.25">
      <c r="A352">
        <v>341</v>
      </c>
      <c r="C352" s="5">
        <f t="shared" si="20"/>
        <v>-178.07976812317546</v>
      </c>
      <c r="D352" s="5">
        <f t="shared" si="21"/>
        <v>-163.37815100117439</v>
      </c>
      <c r="E352" s="5">
        <f t="shared" si="22"/>
        <v>-14.701617122001064</v>
      </c>
      <c r="F352" s="23">
        <f t="shared" si="23"/>
        <v>3241.7445176730594</v>
      </c>
    </row>
    <row r="353" spans="1:6" x14ac:dyDescent="0.25">
      <c r="A353">
        <v>342</v>
      </c>
      <c r="C353" s="5">
        <f t="shared" si="20"/>
        <v>-178.07976812317546</v>
      </c>
      <c r="D353" s="5">
        <f t="shared" si="21"/>
        <v>-164.08353616812195</v>
      </c>
      <c r="E353" s="5">
        <f t="shared" si="22"/>
        <v>-13.996231955053494</v>
      </c>
      <c r="F353" s="23">
        <f t="shared" si="23"/>
        <v>3077.6609815049374</v>
      </c>
    </row>
    <row r="354" spans="1:6" x14ac:dyDescent="0.25">
      <c r="A354">
        <v>343</v>
      </c>
      <c r="C354" s="5">
        <f t="shared" si="20"/>
        <v>-178.07976812317546</v>
      </c>
      <c r="D354" s="5">
        <f t="shared" si="21"/>
        <v>-164.7919668355278</v>
      </c>
      <c r="E354" s="5">
        <f t="shared" si="22"/>
        <v>-13.287801287647627</v>
      </c>
      <c r="F354" s="23">
        <f t="shared" si="23"/>
        <v>2912.8690146694094</v>
      </c>
    </row>
    <row r="355" spans="1:6" x14ac:dyDescent="0.25">
      <c r="A355">
        <v>344</v>
      </c>
      <c r="C355" s="5">
        <f t="shared" si="20"/>
        <v>-178.07976812317546</v>
      </c>
      <c r="D355" s="5">
        <f t="shared" si="21"/>
        <v>-165.50345615234022</v>
      </c>
      <c r="E355" s="5">
        <f t="shared" si="22"/>
        <v>-12.576311970835237</v>
      </c>
      <c r="F355" s="23">
        <f t="shared" si="23"/>
        <v>2747.3655585170691</v>
      </c>
    </row>
    <row r="356" spans="1:6" x14ac:dyDescent="0.25">
      <c r="A356">
        <v>345</v>
      </c>
      <c r="C356" s="5">
        <f t="shared" si="20"/>
        <v>-178.07976812317546</v>
      </c>
      <c r="D356" s="5">
        <f t="shared" si="21"/>
        <v>-166.21801732427792</v>
      </c>
      <c r="E356" s="5">
        <f t="shared" si="22"/>
        <v>-11.861750798897507</v>
      </c>
      <c r="F356" s="23">
        <f t="shared" si="23"/>
        <v>2581.1475411927913</v>
      </c>
    </row>
    <row r="357" spans="1:6" x14ac:dyDescent="0.25">
      <c r="A357">
        <v>346</v>
      </c>
      <c r="C357" s="5">
        <f t="shared" si="20"/>
        <v>-178.07976812317546</v>
      </c>
      <c r="D357" s="5">
        <f t="shared" si="21"/>
        <v>-166.93566361407551</v>
      </c>
      <c r="E357" s="5">
        <f t="shared" si="22"/>
        <v>-11.144104509099934</v>
      </c>
      <c r="F357" s="23">
        <f t="shared" si="23"/>
        <v>2414.2118775787158</v>
      </c>
    </row>
    <row r="358" spans="1:6" x14ac:dyDescent="0.25">
      <c r="A358">
        <v>347</v>
      </c>
      <c r="C358" s="5">
        <f t="shared" si="20"/>
        <v>-178.07976812317546</v>
      </c>
      <c r="D358" s="5">
        <f t="shared" si="21"/>
        <v>-167.65640834172927</v>
      </c>
      <c r="E358" s="5">
        <f t="shared" si="22"/>
        <v>-10.423359781446164</v>
      </c>
      <c r="F358" s="23">
        <f t="shared" si="23"/>
        <v>2246.5554692369865</v>
      </c>
    </row>
    <row r="359" spans="1:6" x14ac:dyDescent="0.25">
      <c r="A359">
        <v>348</v>
      </c>
      <c r="C359" s="5">
        <f t="shared" si="20"/>
        <v>-178.07976812317546</v>
      </c>
      <c r="D359" s="5">
        <f t="shared" si="21"/>
        <v>-168.38026488474472</v>
      </c>
      <c r="E359" s="5">
        <f t="shared" si="22"/>
        <v>-9.6995032384307489</v>
      </c>
      <c r="F359" s="23">
        <f t="shared" si="23"/>
        <v>2078.175204352242</v>
      </c>
    </row>
    <row r="360" spans="1:6" x14ac:dyDescent="0.25">
      <c r="A360">
        <v>349</v>
      </c>
      <c r="C360" s="5">
        <f t="shared" si="20"/>
        <v>-178.07976812317546</v>
      </c>
      <c r="D360" s="5">
        <f t="shared" si="21"/>
        <v>-169.10724667838457</v>
      </c>
      <c r="E360" s="5">
        <f t="shared" si="22"/>
        <v>-8.9725214447908641</v>
      </c>
      <c r="F360" s="23">
        <f t="shared" si="23"/>
        <v>1909.0679576738573</v>
      </c>
    </row>
    <row r="361" spans="1:6" x14ac:dyDescent="0.25">
      <c r="A361">
        <v>350</v>
      </c>
      <c r="C361" s="5">
        <f t="shared" si="20"/>
        <v>-178.07976812317546</v>
      </c>
      <c r="D361" s="5">
        <f t="shared" si="21"/>
        <v>-169.8373672159185</v>
      </c>
      <c r="E361" s="5">
        <f t="shared" si="22"/>
        <v>-8.242400907256938</v>
      </c>
      <c r="F361" s="23">
        <f t="shared" si="23"/>
        <v>1739.2305904579389</v>
      </c>
    </row>
    <row r="362" spans="1:6" x14ac:dyDescent="0.25">
      <c r="A362">
        <v>351</v>
      </c>
      <c r="C362" s="5">
        <f t="shared" si="20"/>
        <v>-178.07976812317546</v>
      </c>
      <c r="D362" s="5">
        <f t="shared" si="21"/>
        <v>-170.57064004887323</v>
      </c>
      <c r="E362" s="5">
        <f t="shared" si="22"/>
        <v>-7.5091280743022102</v>
      </c>
      <c r="F362" s="23">
        <f t="shared" si="23"/>
        <v>1568.6599504090657</v>
      </c>
    </row>
    <row r="363" spans="1:6" x14ac:dyDescent="0.25">
      <c r="A363">
        <v>352</v>
      </c>
      <c r="C363" s="5">
        <f t="shared" si="20"/>
        <v>-178.07976812317546</v>
      </c>
      <c r="D363" s="5">
        <f t="shared" si="21"/>
        <v>-171.30707878728427</v>
      </c>
      <c r="E363" s="5">
        <f t="shared" si="22"/>
        <v>-6.772689335891199</v>
      </c>
      <c r="F363" s="23">
        <f t="shared" si="23"/>
        <v>1397.3528716217813</v>
      </c>
    </row>
    <row r="364" spans="1:6" x14ac:dyDescent="0.25">
      <c r="A364">
        <v>353</v>
      </c>
      <c r="C364" s="5">
        <f t="shared" si="20"/>
        <v>-178.07976812317546</v>
      </c>
      <c r="D364" s="5">
        <f t="shared" si="21"/>
        <v>-172.04669709994832</v>
      </c>
      <c r="E364" s="5">
        <f t="shared" si="22"/>
        <v>-6.0330710232270999</v>
      </c>
      <c r="F364" s="23">
        <f t="shared" si="23"/>
        <v>1225.3061745218331</v>
      </c>
    </row>
    <row r="365" spans="1:6" x14ac:dyDescent="0.25">
      <c r="A365">
        <v>354</v>
      </c>
      <c r="C365" s="5">
        <f t="shared" si="20"/>
        <v>-178.07976812317546</v>
      </c>
      <c r="D365" s="5">
        <f t="shared" si="21"/>
        <v>-172.78950871467737</v>
      </c>
      <c r="E365" s="5">
        <f t="shared" si="22"/>
        <v>-5.2902594084980725</v>
      </c>
      <c r="F365" s="23">
        <f t="shared" si="23"/>
        <v>1052.5166658071557</v>
      </c>
    </row>
    <row r="366" spans="1:6" x14ac:dyDescent="0.25">
      <c r="A366">
        <v>355</v>
      </c>
      <c r="C366" s="5">
        <f t="shared" si="20"/>
        <v>-178.07976812317546</v>
      </c>
      <c r="D366" s="5">
        <f t="shared" si="21"/>
        <v>-173.53552741855299</v>
      </c>
      <c r="E366" s="5">
        <f t="shared" si="22"/>
        <v>-4.5442407046224522</v>
      </c>
      <c r="F366" s="23">
        <f t="shared" si="23"/>
        <v>878.98113838860274</v>
      </c>
    </row>
    <row r="367" spans="1:6" x14ac:dyDescent="0.25">
      <c r="A367">
        <v>356</v>
      </c>
      <c r="C367" s="5">
        <f t="shared" si="20"/>
        <v>-178.07976812317546</v>
      </c>
      <c r="D367" s="5">
        <f t="shared" si="21"/>
        <v>-174.28476705818258</v>
      </c>
      <c r="E367" s="5">
        <f t="shared" si="22"/>
        <v>-3.7950010649928498</v>
      </c>
      <c r="F367" s="23">
        <f t="shared" si="23"/>
        <v>704.69637133042011</v>
      </c>
    </row>
    <row r="368" spans="1:6" x14ac:dyDescent="0.25">
      <c r="A368">
        <v>357</v>
      </c>
      <c r="C368" s="5">
        <f t="shared" si="20"/>
        <v>-178.07976812317546</v>
      </c>
      <c r="D368" s="5">
        <f t="shared" si="21"/>
        <v>-175.03724153995628</v>
      </c>
      <c r="E368" s="5">
        <f t="shared" si="22"/>
        <v>-3.0425265832191468</v>
      </c>
      <c r="F368" s="23">
        <f t="shared" si="23"/>
        <v>529.65912979046379</v>
      </c>
    </row>
    <row r="369" spans="1:6" x14ac:dyDescent="0.25">
      <c r="A369">
        <v>358</v>
      </c>
      <c r="C369" s="5">
        <f t="shared" si="20"/>
        <v>-178.07976812317546</v>
      </c>
      <c r="D369" s="5">
        <f t="shared" si="21"/>
        <v>-175.79296483030507</v>
      </c>
      <c r="E369" s="5">
        <f t="shared" si="22"/>
        <v>-2.2868032928703861</v>
      </c>
      <c r="F369" s="23">
        <f t="shared" si="23"/>
        <v>353.8661649601587</v>
      </c>
    </row>
    <row r="370" spans="1:6" x14ac:dyDescent="0.25">
      <c r="A370">
        <v>359</v>
      </c>
      <c r="C370" s="5">
        <f t="shared" si="20"/>
        <v>-178.07976812317546</v>
      </c>
      <c r="D370" s="5">
        <f t="shared" si="21"/>
        <v>-176.55195095595991</v>
      </c>
      <c r="E370" s="5">
        <f t="shared" si="22"/>
        <v>-1.5278171672155434</v>
      </c>
      <c r="F370" s="23">
        <f t="shared" si="23"/>
        <v>177.31421400419879</v>
      </c>
    </row>
    <row r="371" spans="1:6" x14ac:dyDescent="0.25">
      <c r="A371">
        <v>360</v>
      </c>
      <c r="C371" s="5">
        <f t="shared" si="20"/>
        <v>-178.07976812317546</v>
      </c>
      <c r="D371" s="5">
        <f t="shared" si="21"/>
        <v>-177.31421400421226</v>
      </c>
      <c r="E371" s="5">
        <f t="shared" si="22"/>
        <v>-0.76555411896318637</v>
      </c>
      <c r="F371" s="23">
        <f t="shared" si="23"/>
        <v>-1.34718902700115E-11</v>
      </c>
    </row>
    <row r="372" spans="1:6" x14ac:dyDescent="0.25">
      <c r="C372" s="5"/>
      <c r="D372" s="5"/>
      <c r="E372" s="5"/>
    </row>
    <row r="373" spans="1:6" x14ac:dyDescent="0.25">
      <c r="C373" s="5"/>
      <c r="D373" s="5"/>
      <c r="E373" s="5"/>
    </row>
    <row r="374" spans="1:6" x14ac:dyDescent="0.25">
      <c r="C374" s="5"/>
      <c r="D374" s="5"/>
      <c r="E374" s="5"/>
    </row>
    <row r="375" spans="1:6" x14ac:dyDescent="0.25">
      <c r="C375" s="5"/>
      <c r="D375" s="5"/>
      <c r="E375" s="5"/>
    </row>
    <row r="376" spans="1:6" x14ac:dyDescent="0.25">
      <c r="C376" s="5"/>
      <c r="D376" s="5"/>
      <c r="E376" s="5"/>
    </row>
    <row r="377" spans="1:6" x14ac:dyDescent="0.25">
      <c r="C377" s="5"/>
      <c r="D377" s="5"/>
      <c r="E377" s="5"/>
    </row>
    <row r="378" spans="1:6" x14ac:dyDescent="0.25">
      <c r="C378" s="5"/>
      <c r="D378" s="5"/>
      <c r="E378" s="5"/>
    </row>
    <row r="379" spans="1:6" x14ac:dyDescent="0.25">
      <c r="C379" s="5"/>
      <c r="D379" s="5"/>
      <c r="E379" s="5"/>
    </row>
    <row r="380" spans="1:6" x14ac:dyDescent="0.25">
      <c r="C380" s="5"/>
      <c r="D380" s="5"/>
      <c r="E380" s="5"/>
    </row>
    <row r="381" spans="1:6" x14ac:dyDescent="0.25">
      <c r="C381" s="5"/>
      <c r="D381" s="5"/>
      <c r="E381" s="5"/>
    </row>
    <row r="382" spans="1:6" x14ac:dyDescent="0.25">
      <c r="C382" s="5"/>
      <c r="D382" s="5"/>
      <c r="E382" s="5"/>
    </row>
    <row r="383" spans="1:6" x14ac:dyDescent="0.25">
      <c r="C383" s="5"/>
      <c r="D383" s="5"/>
      <c r="E383" s="5"/>
    </row>
    <row r="384" spans="1:6" x14ac:dyDescent="0.25">
      <c r="C384" s="5"/>
      <c r="D384" s="5"/>
      <c r="E384" s="5"/>
    </row>
    <row r="385" spans="3:5" x14ac:dyDescent="0.25">
      <c r="C385" s="5"/>
      <c r="D385" s="5"/>
      <c r="E385" s="5"/>
    </row>
    <row r="386" spans="3:5" x14ac:dyDescent="0.25">
      <c r="C386" s="5"/>
      <c r="D386" s="5"/>
      <c r="E386" s="5"/>
    </row>
    <row r="387" spans="3:5" x14ac:dyDescent="0.25">
      <c r="C387" s="5"/>
      <c r="D387" s="5"/>
      <c r="E387" s="5"/>
    </row>
    <row r="388" spans="3:5" x14ac:dyDescent="0.25">
      <c r="C388" s="5"/>
      <c r="D388" s="5"/>
      <c r="E388" s="5"/>
    </row>
    <row r="389" spans="3:5" x14ac:dyDescent="0.25">
      <c r="C389" s="5"/>
      <c r="D389" s="5"/>
      <c r="E389" s="5"/>
    </row>
    <row r="390" spans="3:5" x14ac:dyDescent="0.25">
      <c r="C390" s="5"/>
      <c r="D390" s="5"/>
      <c r="E390" s="5"/>
    </row>
    <row r="391" spans="3:5" x14ac:dyDescent="0.25">
      <c r="C391" s="5"/>
      <c r="D391" s="5"/>
      <c r="E391" s="5"/>
    </row>
    <row r="392" spans="3:5" x14ac:dyDescent="0.25">
      <c r="C392" s="5"/>
      <c r="D392" s="5"/>
      <c r="E392" s="5"/>
    </row>
    <row r="393" spans="3:5" x14ac:dyDescent="0.25">
      <c r="C393" s="5"/>
      <c r="D393" s="5"/>
      <c r="E393" s="5"/>
    </row>
    <row r="394" spans="3:5" x14ac:dyDescent="0.25">
      <c r="C394" s="5"/>
      <c r="D394" s="5"/>
      <c r="E394" s="5"/>
    </row>
    <row r="395" spans="3:5" x14ac:dyDescent="0.25">
      <c r="C395" s="5"/>
      <c r="D395" s="5"/>
      <c r="E395" s="5"/>
    </row>
    <row r="396" spans="3:5" x14ac:dyDescent="0.25">
      <c r="C396" s="5"/>
      <c r="D396" s="5"/>
      <c r="E396" s="5"/>
    </row>
    <row r="397" spans="3:5" x14ac:dyDescent="0.25">
      <c r="C397" s="5"/>
      <c r="D397" s="5"/>
      <c r="E397" s="5"/>
    </row>
    <row r="398" spans="3:5" x14ac:dyDescent="0.25">
      <c r="C398" s="5"/>
      <c r="D398" s="5"/>
      <c r="E398" s="5"/>
    </row>
    <row r="399" spans="3:5" x14ac:dyDescent="0.25">
      <c r="C399" s="5"/>
      <c r="D399" s="5"/>
      <c r="E399" s="5"/>
    </row>
    <row r="400" spans="3:5" x14ac:dyDescent="0.25">
      <c r="C400" s="5"/>
      <c r="D400" s="5"/>
      <c r="E400" s="5"/>
    </row>
    <row r="401" spans="3:5" x14ac:dyDescent="0.25">
      <c r="C401" s="5"/>
      <c r="D401" s="5"/>
      <c r="E401" s="5"/>
    </row>
    <row r="402" spans="3:5" x14ac:dyDescent="0.25">
      <c r="C402" s="5"/>
      <c r="D402" s="5"/>
      <c r="E402" s="5"/>
    </row>
    <row r="403" spans="3:5" x14ac:dyDescent="0.25">
      <c r="C403" s="5"/>
      <c r="D403" s="5"/>
      <c r="E403" s="5"/>
    </row>
    <row r="404" spans="3:5" x14ac:dyDescent="0.25">
      <c r="C404" s="5"/>
      <c r="D404" s="5"/>
      <c r="E404" s="5"/>
    </row>
    <row r="405" spans="3:5" x14ac:dyDescent="0.25">
      <c r="C405" s="5"/>
      <c r="D405" s="5"/>
      <c r="E405" s="5"/>
    </row>
    <row r="406" spans="3:5" x14ac:dyDescent="0.25">
      <c r="C406" s="5"/>
      <c r="D406" s="5"/>
      <c r="E406" s="5"/>
    </row>
    <row r="407" spans="3:5" x14ac:dyDescent="0.25">
      <c r="C407" s="5"/>
      <c r="D407" s="5"/>
      <c r="E407" s="5"/>
    </row>
    <row r="408" spans="3:5" x14ac:dyDescent="0.25">
      <c r="C408" s="5"/>
      <c r="D408" s="5"/>
      <c r="E408" s="5"/>
    </row>
    <row r="409" spans="3:5" x14ac:dyDescent="0.25">
      <c r="C409" s="5"/>
      <c r="D409" s="5"/>
      <c r="E409" s="5"/>
    </row>
    <row r="410" spans="3:5" x14ac:dyDescent="0.25">
      <c r="C410" s="5"/>
      <c r="D410" s="5"/>
      <c r="E410" s="5"/>
    </row>
    <row r="411" spans="3:5" x14ac:dyDescent="0.25">
      <c r="C411" s="5"/>
      <c r="D411" s="5"/>
      <c r="E411" s="5"/>
    </row>
    <row r="412" spans="3:5" x14ac:dyDescent="0.25">
      <c r="C412" s="5"/>
      <c r="D412" s="5"/>
      <c r="E412" s="5"/>
    </row>
    <row r="413" spans="3:5" x14ac:dyDescent="0.25">
      <c r="C413" s="5"/>
      <c r="D413" s="5"/>
      <c r="E413" s="5"/>
    </row>
    <row r="414" spans="3:5" x14ac:dyDescent="0.25">
      <c r="C414" s="5"/>
      <c r="D414" s="5"/>
      <c r="E414" s="5"/>
    </row>
    <row r="415" spans="3:5" x14ac:dyDescent="0.25">
      <c r="C415" s="5"/>
      <c r="D415" s="5"/>
      <c r="E415" s="5"/>
    </row>
    <row r="416" spans="3:5" x14ac:dyDescent="0.25">
      <c r="C416" s="5"/>
      <c r="D416" s="5"/>
      <c r="E416" s="5"/>
    </row>
    <row r="417" spans="3:5" x14ac:dyDescent="0.25">
      <c r="C417" s="5"/>
      <c r="D417" s="5"/>
      <c r="E417" s="5"/>
    </row>
    <row r="418" spans="3:5" x14ac:dyDescent="0.25">
      <c r="C418" s="5"/>
      <c r="D418" s="5"/>
      <c r="E418" s="5"/>
    </row>
    <row r="419" spans="3:5" x14ac:dyDescent="0.25">
      <c r="C419" s="5"/>
      <c r="D419" s="5"/>
      <c r="E419" s="5"/>
    </row>
    <row r="420" spans="3:5" x14ac:dyDescent="0.25">
      <c r="C420" s="5"/>
      <c r="D420" s="5"/>
      <c r="E420" s="5"/>
    </row>
    <row r="421" spans="3:5" x14ac:dyDescent="0.25">
      <c r="C421" s="5"/>
      <c r="D421" s="5"/>
      <c r="E421" s="5"/>
    </row>
    <row r="422" spans="3:5" x14ac:dyDescent="0.25">
      <c r="C422" s="5"/>
      <c r="D422" s="5"/>
      <c r="E422" s="5"/>
    </row>
    <row r="423" spans="3:5" x14ac:dyDescent="0.25">
      <c r="C423" s="5"/>
      <c r="D423" s="5"/>
      <c r="E423" s="5"/>
    </row>
    <row r="424" spans="3:5" x14ac:dyDescent="0.25">
      <c r="C424" s="5"/>
      <c r="D424" s="5"/>
      <c r="E424" s="5"/>
    </row>
    <row r="425" spans="3:5" x14ac:dyDescent="0.25">
      <c r="C425" s="5"/>
      <c r="D425" s="5"/>
      <c r="E425" s="5"/>
    </row>
    <row r="426" spans="3:5" x14ac:dyDescent="0.25">
      <c r="C426" s="5"/>
      <c r="D426" s="5"/>
      <c r="E426" s="5"/>
    </row>
    <row r="427" spans="3:5" x14ac:dyDescent="0.25">
      <c r="C427" s="5"/>
      <c r="D427" s="5"/>
      <c r="E427" s="5"/>
    </row>
    <row r="428" spans="3:5" x14ac:dyDescent="0.25">
      <c r="C428" s="5"/>
      <c r="D428" s="5"/>
      <c r="E428" s="5"/>
    </row>
    <row r="429" spans="3:5" x14ac:dyDescent="0.25">
      <c r="C429" s="5"/>
      <c r="D429" s="5"/>
      <c r="E429" s="5"/>
    </row>
    <row r="430" spans="3:5" x14ac:dyDescent="0.25">
      <c r="C430" s="5"/>
      <c r="D430" s="5"/>
      <c r="E430" s="5"/>
    </row>
    <row r="431" spans="3:5" x14ac:dyDescent="0.25">
      <c r="C431" s="5"/>
      <c r="D431" s="5"/>
      <c r="E431" s="5"/>
    </row>
    <row r="432" spans="3:5" x14ac:dyDescent="0.25">
      <c r="C432" s="5"/>
      <c r="D432" s="5"/>
      <c r="E432" s="5"/>
    </row>
    <row r="433" spans="3:5" x14ac:dyDescent="0.25">
      <c r="C433" s="5"/>
      <c r="D433" s="5"/>
      <c r="E433" s="5"/>
    </row>
    <row r="434" spans="3:5" x14ac:dyDescent="0.25">
      <c r="C434" s="5"/>
      <c r="D434" s="5"/>
      <c r="E434" s="5"/>
    </row>
    <row r="435" spans="3:5" x14ac:dyDescent="0.25">
      <c r="C435" s="5"/>
      <c r="D435" s="5"/>
      <c r="E435" s="5"/>
    </row>
    <row r="436" spans="3:5" x14ac:dyDescent="0.25">
      <c r="C436" s="5"/>
      <c r="D436" s="5"/>
      <c r="E436" s="5"/>
    </row>
    <row r="437" spans="3:5" x14ac:dyDescent="0.25">
      <c r="C437" s="5"/>
      <c r="D437" s="5"/>
      <c r="E437" s="5"/>
    </row>
    <row r="438" spans="3:5" x14ac:dyDescent="0.25">
      <c r="C438" s="5"/>
      <c r="D438" s="5"/>
      <c r="E438" s="5"/>
    </row>
    <row r="439" spans="3:5" x14ac:dyDescent="0.25">
      <c r="C439" s="5"/>
      <c r="D439" s="5"/>
      <c r="E439" s="5"/>
    </row>
    <row r="440" spans="3:5" x14ac:dyDescent="0.25">
      <c r="C440" s="5"/>
      <c r="D440" s="5"/>
      <c r="E440" s="5"/>
    </row>
    <row r="441" spans="3:5" x14ac:dyDescent="0.25">
      <c r="C441" s="5"/>
      <c r="D441" s="5"/>
      <c r="E441" s="5"/>
    </row>
    <row r="442" spans="3:5" x14ac:dyDescent="0.25">
      <c r="C442" s="5"/>
      <c r="D442" s="5"/>
      <c r="E442" s="5"/>
    </row>
    <row r="443" spans="3:5" x14ac:dyDescent="0.25">
      <c r="C443" s="5"/>
      <c r="D443" s="5"/>
      <c r="E443" s="5"/>
    </row>
    <row r="444" spans="3:5" x14ac:dyDescent="0.25">
      <c r="C444" s="5"/>
      <c r="D444" s="5"/>
      <c r="E444" s="5"/>
    </row>
    <row r="445" spans="3:5" x14ac:dyDescent="0.25">
      <c r="C445" s="5"/>
      <c r="D445" s="5"/>
      <c r="E445" s="5"/>
    </row>
    <row r="446" spans="3:5" x14ac:dyDescent="0.25">
      <c r="C446" s="5"/>
      <c r="D446" s="5"/>
      <c r="E446" s="5"/>
    </row>
    <row r="447" spans="3:5" x14ac:dyDescent="0.25">
      <c r="C447" s="5"/>
      <c r="D447" s="5"/>
      <c r="E447" s="5"/>
    </row>
    <row r="448" spans="3:5" x14ac:dyDescent="0.25">
      <c r="C448" s="5"/>
      <c r="D448" s="5"/>
      <c r="E448" s="5"/>
    </row>
    <row r="449" spans="3:5" x14ac:dyDescent="0.25">
      <c r="C449" s="5"/>
      <c r="D449" s="5"/>
      <c r="E449" s="5"/>
    </row>
    <row r="450" spans="3:5" x14ac:dyDescent="0.25">
      <c r="C450" s="5"/>
      <c r="D450" s="5"/>
      <c r="E450" s="5"/>
    </row>
    <row r="451" spans="3:5" x14ac:dyDescent="0.25">
      <c r="C451" s="5"/>
      <c r="D451" s="5"/>
      <c r="E451" s="5"/>
    </row>
    <row r="452" spans="3:5" x14ac:dyDescent="0.25">
      <c r="C452" s="5"/>
      <c r="D452" s="5"/>
      <c r="E452" s="5"/>
    </row>
    <row r="453" spans="3:5" x14ac:dyDescent="0.25">
      <c r="C453" s="5"/>
      <c r="D453" s="5"/>
      <c r="E453" s="5"/>
    </row>
    <row r="454" spans="3:5" x14ac:dyDescent="0.25">
      <c r="C454" s="5"/>
      <c r="D454" s="5"/>
      <c r="E454" s="5"/>
    </row>
    <row r="455" spans="3:5" x14ac:dyDescent="0.25">
      <c r="C455" s="5"/>
      <c r="D455" s="5"/>
      <c r="E455" s="5"/>
    </row>
    <row r="456" spans="3:5" x14ac:dyDescent="0.25">
      <c r="C456" s="5"/>
      <c r="D456" s="5"/>
      <c r="E456" s="5"/>
    </row>
    <row r="457" spans="3:5" x14ac:dyDescent="0.25">
      <c r="C457" s="5"/>
      <c r="D457" s="5"/>
      <c r="E457" s="5"/>
    </row>
    <row r="458" spans="3:5" x14ac:dyDescent="0.25">
      <c r="C458" s="5"/>
      <c r="D458" s="5"/>
      <c r="E458" s="5"/>
    </row>
    <row r="459" spans="3:5" x14ac:dyDescent="0.25">
      <c r="C459" s="5"/>
      <c r="D459" s="5"/>
      <c r="E459" s="5"/>
    </row>
    <row r="460" spans="3:5" x14ac:dyDescent="0.25">
      <c r="C460" s="5"/>
      <c r="D460" s="5"/>
      <c r="E460" s="5"/>
    </row>
    <row r="461" spans="3:5" x14ac:dyDescent="0.25">
      <c r="C461" s="5"/>
      <c r="D461" s="5"/>
      <c r="E461" s="5"/>
    </row>
    <row r="462" spans="3:5" x14ac:dyDescent="0.25">
      <c r="C462" s="5"/>
      <c r="D462" s="5"/>
      <c r="E462" s="5"/>
    </row>
    <row r="463" spans="3:5" x14ac:dyDescent="0.25">
      <c r="C463" s="5"/>
      <c r="D463" s="5"/>
      <c r="E463" s="5"/>
    </row>
    <row r="464" spans="3:5" x14ac:dyDescent="0.25">
      <c r="C464" s="5"/>
      <c r="D464" s="5"/>
      <c r="E464" s="5"/>
    </row>
    <row r="465" spans="3:5" x14ac:dyDescent="0.25">
      <c r="C465" s="5"/>
      <c r="D465" s="5"/>
      <c r="E465" s="5"/>
    </row>
    <row r="466" spans="3:5" x14ac:dyDescent="0.25">
      <c r="C466" s="5"/>
      <c r="D466" s="5"/>
      <c r="E466" s="5"/>
    </row>
    <row r="467" spans="3:5" x14ac:dyDescent="0.25">
      <c r="C467" s="5"/>
      <c r="D467" s="5"/>
      <c r="E467" s="5"/>
    </row>
    <row r="468" spans="3:5" x14ac:dyDescent="0.25">
      <c r="C468" s="5"/>
      <c r="D468" s="5"/>
      <c r="E468" s="5"/>
    </row>
    <row r="469" spans="3:5" x14ac:dyDescent="0.25">
      <c r="C469" s="5"/>
      <c r="D469" s="5"/>
      <c r="E469" s="5"/>
    </row>
    <row r="470" spans="3:5" x14ac:dyDescent="0.25">
      <c r="C470" s="5"/>
      <c r="D470" s="5"/>
      <c r="E470" s="5"/>
    </row>
    <row r="471" spans="3:5" x14ac:dyDescent="0.25">
      <c r="C471" s="5"/>
      <c r="D471" s="5"/>
      <c r="E471" s="5"/>
    </row>
    <row r="472" spans="3:5" x14ac:dyDescent="0.25">
      <c r="C472" s="5"/>
      <c r="D472" s="5"/>
      <c r="E472" s="5"/>
    </row>
    <row r="473" spans="3:5" x14ac:dyDescent="0.25">
      <c r="C473" s="5"/>
      <c r="D473" s="5"/>
      <c r="E473" s="5"/>
    </row>
    <row r="474" spans="3:5" x14ac:dyDescent="0.25">
      <c r="C474" s="5"/>
      <c r="D474" s="5"/>
      <c r="E474" s="5"/>
    </row>
    <row r="475" spans="3:5" x14ac:dyDescent="0.25">
      <c r="C475" s="5"/>
      <c r="D475" s="5"/>
      <c r="E475" s="5"/>
    </row>
    <row r="476" spans="3:5" x14ac:dyDescent="0.25">
      <c r="C476" s="5"/>
      <c r="D476" s="5"/>
      <c r="E476" s="5"/>
    </row>
    <row r="477" spans="3:5" x14ac:dyDescent="0.25">
      <c r="C477" s="5"/>
      <c r="D477" s="5"/>
      <c r="E477" s="5"/>
    </row>
    <row r="478" spans="3:5" x14ac:dyDescent="0.25">
      <c r="C478" s="5"/>
      <c r="D478" s="5"/>
      <c r="E478" s="5"/>
    </row>
    <row r="479" spans="3:5" x14ac:dyDescent="0.25">
      <c r="C479" s="5"/>
      <c r="D479" s="5"/>
      <c r="E479" s="5"/>
    </row>
    <row r="480" spans="3:5" x14ac:dyDescent="0.25">
      <c r="C480" s="5"/>
      <c r="D480" s="5"/>
      <c r="E480" s="5"/>
    </row>
    <row r="481" spans="3:5" x14ac:dyDescent="0.25">
      <c r="C481" s="5"/>
      <c r="D481" s="5"/>
      <c r="E481" s="5"/>
    </row>
    <row r="482" spans="3:5" x14ac:dyDescent="0.25">
      <c r="C482" s="5"/>
      <c r="D482" s="5"/>
      <c r="E482" s="5"/>
    </row>
    <row r="483" spans="3:5" x14ac:dyDescent="0.25">
      <c r="C483" s="5"/>
      <c r="D483" s="5"/>
      <c r="E483" s="5"/>
    </row>
    <row r="484" spans="3:5" x14ac:dyDescent="0.25">
      <c r="C484" s="5"/>
      <c r="D484" s="5"/>
      <c r="E484" s="5"/>
    </row>
    <row r="485" spans="3:5" x14ac:dyDescent="0.25">
      <c r="C485" s="5"/>
      <c r="D485" s="5"/>
      <c r="E485" s="5"/>
    </row>
    <row r="486" spans="3:5" x14ac:dyDescent="0.25">
      <c r="C486" s="5"/>
      <c r="D486" s="5"/>
      <c r="E486" s="5"/>
    </row>
    <row r="487" spans="3:5" x14ac:dyDescent="0.25">
      <c r="C487" s="5"/>
      <c r="D487" s="5"/>
      <c r="E487" s="5"/>
    </row>
    <row r="488" spans="3:5" x14ac:dyDescent="0.25">
      <c r="C488" s="5"/>
      <c r="D488" s="5"/>
      <c r="E488" s="5"/>
    </row>
    <row r="489" spans="3:5" x14ac:dyDescent="0.25">
      <c r="C489" s="5"/>
      <c r="D489" s="5"/>
      <c r="E489" s="5"/>
    </row>
    <row r="490" spans="3:5" x14ac:dyDescent="0.25">
      <c r="C490" s="5"/>
      <c r="D490" s="5"/>
      <c r="E490" s="5"/>
    </row>
    <row r="491" spans="3:5" x14ac:dyDescent="0.25">
      <c r="C491" s="5"/>
      <c r="D491" s="5"/>
      <c r="E491" s="5"/>
    </row>
    <row r="492" spans="3:5" x14ac:dyDescent="0.25">
      <c r="C492" s="5"/>
      <c r="D492" s="5"/>
      <c r="E492" s="5"/>
    </row>
    <row r="493" spans="3:5" x14ac:dyDescent="0.25">
      <c r="C493" s="5"/>
      <c r="D493" s="5"/>
      <c r="E493" s="5"/>
    </row>
    <row r="494" spans="3:5" x14ac:dyDescent="0.25">
      <c r="C494" s="5"/>
      <c r="D494" s="5"/>
      <c r="E494" s="5"/>
    </row>
    <row r="495" spans="3:5" x14ac:dyDescent="0.25">
      <c r="C495" s="5"/>
      <c r="D495" s="5"/>
      <c r="E495" s="5"/>
    </row>
    <row r="496" spans="3:5" x14ac:dyDescent="0.25">
      <c r="C496" s="5"/>
      <c r="D496" s="5"/>
      <c r="E496" s="5"/>
    </row>
    <row r="497" spans="3:5" x14ac:dyDescent="0.25">
      <c r="C497" s="5"/>
      <c r="D497" s="5"/>
      <c r="E497" s="5"/>
    </row>
    <row r="498" spans="3:5" x14ac:dyDescent="0.25">
      <c r="C498" s="5"/>
      <c r="D498" s="5"/>
      <c r="E498" s="5"/>
    </row>
    <row r="499" spans="3:5" x14ac:dyDescent="0.25">
      <c r="C499" s="5"/>
      <c r="D499" s="5"/>
      <c r="E499" s="5"/>
    </row>
    <row r="500" spans="3:5" x14ac:dyDescent="0.25">
      <c r="C500" s="5"/>
      <c r="D500" s="5"/>
      <c r="E500" s="5"/>
    </row>
    <row r="501" spans="3:5" x14ac:dyDescent="0.25">
      <c r="C501" s="5"/>
      <c r="D501" s="5"/>
      <c r="E501" s="5"/>
    </row>
    <row r="502" spans="3:5" x14ac:dyDescent="0.25">
      <c r="C502" s="5"/>
      <c r="D502" s="5"/>
      <c r="E502" s="5"/>
    </row>
    <row r="503" spans="3:5" x14ac:dyDescent="0.25">
      <c r="C503" s="5"/>
      <c r="D503" s="5"/>
      <c r="E503" s="5"/>
    </row>
    <row r="504" spans="3:5" x14ac:dyDescent="0.25">
      <c r="C504" s="5"/>
      <c r="D504" s="5"/>
      <c r="E504" s="5"/>
    </row>
    <row r="505" spans="3:5" x14ac:dyDescent="0.25">
      <c r="C505" s="5"/>
      <c r="D505" s="5"/>
      <c r="E505" s="5"/>
    </row>
    <row r="506" spans="3:5" x14ac:dyDescent="0.25">
      <c r="C506" s="5"/>
      <c r="D506" s="5"/>
      <c r="E506" s="5"/>
    </row>
    <row r="507" spans="3:5" x14ac:dyDescent="0.25">
      <c r="C507" s="5"/>
      <c r="D507" s="5"/>
      <c r="E507" s="5"/>
    </row>
    <row r="508" spans="3:5" x14ac:dyDescent="0.25">
      <c r="C508" s="5"/>
      <c r="D508" s="5"/>
      <c r="E508" s="5"/>
    </row>
    <row r="509" spans="3:5" x14ac:dyDescent="0.25">
      <c r="C509" s="5"/>
      <c r="D509" s="5"/>
      <c r="E509" s="5"/>
    </row>
    <row r="510" spans="3:5" x14ac:dyDescent="0.25">
      <c r="C510" s="5"/>
      <c r="D510" s="5"/>
      <c r="E510" s="5"/>
    </row>
    <row r="511" spans="3:5" x14ac:dyDescent="0.25">
      <c r="C511" s="5"/>
      <c r="D511" s="5"/>
      <c r="E511" s="5"/>
    </row>
    <row r="512" spans="3:5" x14ac:dyDescent="0.25">
      <c r="C512" s="5"/>
      <c r="D512" s="5"/>
      <c r="E512" s="5"/>
    </row>
    <row r="513" spans="3:5" x14ac:dyDescent="0.25">
      <c r="C513" s="5"/>
      <c r="D513" s="5"/>
      <c r="E513" s="5"/>
    </row>
    <row r="514" spans="3:5" x14ac:dyDescent="0.25">
      <c r="C514" s="5"/>
      <c r="D514" s="5"/>
      <c r="E514" s="5"/>
    </row>
    <row r="515" spans="3:5" x14ac:dyDescent="0.25">
      <c r="C515" s="5"/>
      <c r="D515" s="5"/>
      <c r="E515" s="5"/>
    </row>
    <row r="516" spans="3:5" x14ac:dyDescent="0.25">
      <c r="C516" s="5"/>
      <c r="D516" s="5"/>
      <c r="E516" s="5"/>
    </row>
    <row r="517" spans="3:5" x14ac:dyDescent="0.25">
      <c r="C517" s="5"/>
      <c r="D517" s="5"/>
      <c r="E517" s="5"/>
    </row>
    <row r="518" spans="3:5" x14ac:dyDescent="0.25">
      <c r="C518" s="5"/>
      <c r="D518" s="5"/>
      <c r="E518" s="5"/>
    </row>
    <row r="519" spans="3:5" x14ac:dyDescent="0.25">
      <c r="C519" s="5"/>
      <c r="D519" s="5"/>
      <c r="E519" s="5"/>
    </row>
  </sheetData>
  <mergeCells count="1">
    <mergeCell ref="B10:G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</vt:lpstr>
      <vt:lpstr>Amortization Table Mortgage</vt:lpstr>
      <vt:lpstr>Amortization Table Construction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Morse</dc:creator>
  <cp:lastModifiedBy>Stefano Parravano</cp:lastModifiedBy>
  <dcterms:created xsi:type="dcterms:W3CDTF">2016-02-13T17:36:24Z</dcterms:created>
  <dcterms:modified xsi:type="dcterms:W3CDTF">2021-05-02T23:52:31Z</dcterms:modified>
</cp:coreProperties>
</file>